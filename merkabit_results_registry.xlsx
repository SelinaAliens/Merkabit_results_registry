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Registry" sheetId="1" state="visible" r:id="rId1"/>
    <sheet xmlns:r="http://schemas.openxmlformats.org/officeDocument/2006/relationships" name="Dataset Provenance" sheetId="2" state="visible" r:id="rId2"/>
    <sheet xmlns:r="http://schemas.openxmlformats.org/officeDocument/2006/relationships" name="Scripts Directory" sheetId="3" state="visible" r:id="rId3"/>
    <sheet xmlns:r="http://schemas.openxmlformats.org/officeDocument/2006/relationships" name="Submission Checklist" sheetId="4" state="visible" r:id="rId4"/>
    <sheet xmlns:r="http://schemas.openxmlformats.org/officeDocument/2006/relationships" name="Key Fin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D0D0D"/>
      <sz val="10"/>
    </font>
    <font>
      <name val="Arial"/>
      <b val="1"/>
      <color rgb="00FFFFFF"/>
      <sz val="10"/>
    </font>
    <font>
      <name val="Arial"/>
      <sz val="10"/>
    </font>
    <font>
      <b val="1"/>
      <sz val="10"/>
    </font>
    <font>
      <name val="Calibri"/>
      <charset val="1"/>
      <family val="2"/>
      <color theme="1"/>
      <sz val="11"/>
    </font>
    <font>
      <name val="Calibri"/>
      <b val="1"/>
      <sz val="11"/>
    </font>
    <font>
      <name val="Calibri"/>
      <sz val="10"/>
    </font>
    <font>
      <b val="1"/>
      <color rgb="FFFFFFFF"/>
    </font>
    <font>
      <name val="Arial"/>
      <charset val="1"/>
      <family val="0"/>
      <color rgb="FF0D0D0D"/>
      <sz val="10"/>
    </font>
    <font>
      <name val="Arial"/>
      <color rgb="000D0D0D"/>
      <sz val="10"/>
    </font>
  </fonts>
  <fills count="12">
    <fill>
      <patternFill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EEF4FB"/>
        <bgColor rgb="FFFFF9E6"/>
      </patternFill>
    </fill>
    <fill>
      <patternFill patternType="solid">
        <fgColor rgb="FFFFFFFF"/>
        <bgColor rgb="FFFFF9E6"/>
      </patternFill>
    </fill>
    <fill>
      <patternFill patternType="solid">
        <f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</patternFill>
    </fill>
    <fill>
      <patternFill patternType="solid">
        <fgColor rgb="00EEF4FB"/>
      </patternFill>
    </fill>
    <fill>
      <patternFill patternType="solid">
        <fgColor rgb="FFFFF9E6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general" vertical="top" wrapText="1"/>
    </xf>
    <xf numFmtId="0" fontId="4" fillId="5" borderId="0" applyAlignment="1" pivotButton="0" quotePrefix="0" xfId="0">
      <alignment horizontal="general" vertical="top" wrapText="1"/>
    </xf>
    <xf numFmtId="0" fontId="5" fillId="6" borderId="0" pivotButton="0" quotePrefix="0" xfId="0"/>
    <xf numFmtId="0" fontId="6" fillId="0" borderId="0" pivotButton="0" quotePrefix="0" xfId="0"/>
    <xf numFmtId="0" fontId="6" fillId="7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0" fontId="7" fillId="6" borderId="0" pivotButton="0" quotePrefix="0" xfId="0"/>
    <xf numFmtId="0" fontId="8" fillId="0" borderId="0" applyAlignment="1" pivotButton="0" quotePrefix="0" xfId="0">
      <alignment horizontal="general" vertical="bottom"/>
    </xf>
    <xf numFmtId="0" fontId="9" fillId="9" borderId="0" pivotButton="0" quotePrefix="0" xfId="0"/>
    <xf numFmtId="0" fontId="10" fillId="0" borderId="0" applyAlignment="1" pivotButton="0" quotePrefix="0" xfId="0">
      <alignment vertical="top" wrapText="1"/>
    </xf>
    <xf numFmtId="0" fontId="11" fillId="6" borderId="0" applyAlignment="1" pivotButton="0" quotePrefix="0" xfId="0">
      <alignment horizontal="left" vertical="center"/>
    </xf>
    <xf numFmtId="0" fontId="10" fillId="0" borderId="0" pivotButton="0" quotePrefix="0" xfId="0"/>
    <xf numFmtId="0" fontId="12" fillId="4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top" wrapText="1"/>
    </xf>
    <xf numFmtId="0" fontId="13" fillId="10" borderId="0" applyAlignment="1" pivotButton="0" quotePrefix="0" xfId="0">
      <alignment vertical="top" wrapText="1"/>
    </xf>
    <xf numFmtId="0" fontId="4" fillId="11" borderId="0" applyAlignment="1" pivotButton="0" quotePrefix="0" xfId="0">
      <alignment horizontal="general" vertical="top" wrapText="1"/>
    </xf>
    <xf numFmtId="0" fontId="4" fillId="1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8" customWidth="1" min="3" max="3"/>
    <col width="14" customWidth="1" min="4" max="4"/>
    <col width="10" customWidth="1" min="5" max="5"/>
    <col width="9" customWidth="1" min="6" max="6"/>
    <col width="32" customWidth="1" min="7" max="7"/>
    <col width="18" customWidth="1" min="8" max="8"/>
    <col width="10" customWidth="1" min="9" max="9"/>
    <col width="16" customWidth="1" min="10" max="10"/>
  </cols>
  <sheetData>
    <row r="1">
      <c r="A1" s="1" t="inlineStr">
        <is>
          <t>Merkabit Research — Master Results Registry</t>
        </is>
      </c>
    </row>
    <row r="2">
      <c r="A2" s="2" t="inlineStr">
        <is>
          <t>Every number cited in any published paper traces to one row in this table  |  Public version (May 2026, v9-public) — held-back: Paper 42 (Matter Generator) + 3GEN-HW (three-generations IBM hardware test) + SUPERSEDED audit rows</t>
        </is>
      </c>
    </row>
    <row r="3"/>
    <row r="4">
      <c r="A4" s="3" t="inlineStr">
        <is>
          <t>Result ID</t>
        </is>
      </c>
      <c r="B4" t="inlineStr">
        <is>
          <t>Description</t>
        </is>
      </c>
      <c r="C4" t="inlineStr">
        <is>
          <t>Value</t>
        </is>
      </c>
      <c r="D4" t="inlineStr">
        <is>
          <t>Uncertainty</t>
        </is>
      </c>
      <c r="E4" t="inlineStr">
        <is>
          <t>Paper</t>
        </is>
      </c>
      <c r="F4" t="inlineStr">
        <is>
          <t>Section</t>
        </is>
      </c>
      <c r="G4" t="inlineStr">
        <is>
          <t>Script</t>
        </is>
      </c>
      <c r="H4" t="inlineStr">
        <is>
          <t>Dataset (Zenodo)</t>
        </is>
      </c>
      <c r="I4" t="inlineStr">
        <is>
          <t>Date</t>
        </is>
      </c>
      <c r="J4" t="inlineStr">
        <is>
          <t>Status</t>
        </is>
      </c>
    </row>
    <row r="5">
      <c r="A5" s="4" t="inlineStr">
        <is>
          <t>CP-01</t>
        </is>
      </c>
      <c r="B5" t="inlineStr">
        <is>
          <t>Scaling law slope (α vs J_ratio linear fit)</t>
        </is>
      </c>
      <c r="C5" t="inlineStr">
        <is>
          <t>−0.172</t>
        </is>
      </c>
      <c r="D5" t="inlineStr">
        <is>
          <t>see script</t>
        </is>
      </c>
      <c r="E5" t="inlineStr">
        <is>
          <t>Companion</t>
        </is>
      </c>
      <c r="F5" t="inlineStr">
        <is>
          <t>3.1</t>
        </is>
      </c>
      <c r="G5" t="inlineStr">
        <is>
          <t>decoherence_scaling_law.py</t>
        </is>
      </c>
      <c r="H5" t="inlineStr">
        <is>
          <t>Zenodo 11203148</t>
        </is>
      </c>
      <c r="I5" t="inlineStr">
        <is>
          <t>Mar 2026</t>
        </is>
      </c>
      <c r="J5" t="inlineStr">
        <is>
          <t>CONFIRMED</t>
        </is>
      </c>
    </row>
    <row r="6">
      <c r="A6" s="5" t="inlineStr">
        <is>
          <t>CP-02</t>
        </is>
      </c>
      <c r="B6" t="inlineStr">
        <is>
          <t>Scaling law intercept</t>
        </is>
      </c>
      <c r="C6" t="inlineStr">
        <is>
          <t>2.143</t>
        </is>
      </c>
      <c r="D6" t="inlineStr">
        <is>
          <t>see script</t>
        </is>
      </c>
      <c r="E6" t="inlineStr">
        <is>
          <t>Companion</t>
        </is>
      </c>
      <c r="F6" t="inlineStr">
        <is>
          <t>3.1</t>
        </is>
      </c>
      <c r="G6" t="inlineStr">
        <is>
          <t>decoherence_scaling_law.py</t>
        </is>
      </c>
      <c r="H6" t="inlineStr">
        <is>
          <t>Zenodo 11203148</t>
        </is>
      </c>
      <c r="I6" t="inlineStr">
        <is>
          <t>Mar 2026</t>
        </is>
      </c>
      <c r="J6" t="inlineStr">
        <is>
          <t>CONFIRMED</t>
        </is>
      </c>
    </row>
    <row r="7">
      <c r="A7" s="4" t="inlineStr">
        <is>
          <t>CP-03</t>
        </is>
      </c>
      <c r="B7" t="inlineStr">
        <is>
          <t>Pearson r (α vs J_ratio, 3 qubits)</t>
        </is>
      </c>
      <c r="C7" t="inlineStr">
        <is>
          <t>−0.998</t>
        </is>
      </c>
      <c r="D7" t="inlineStr">
        <is>
          <t>—</t>
        </is>
      </c>
      <c r="E7" t="inlineStr">
        <is>
          <t>Companion</t>
        </is>
      </c>
      <c r="F7" t="inlineStr">
        <is>
          <t>3.1</t>
        </is>
      </c>
      <c r="G7" t="inlineStr">
        <is>
          <t>decoherence_scaling_law.py</t>
        </is>
      </c>
      <c r="H7" t="inlineStr">
        <is>
          <t>Zenodo 11203148</t>
        </is>
      </c>
      <c r="I7" t="inlineStr">
        <is>
          <t>Mar 2026</t>
        </is>
      </c>
      <c r="J7" t="inlineStr">
        <is>
          <t>CONFIRMED</t>
        </is>
      </c>
    </row>
    <row r="8">
      <c r="A8" s="5" t="inlineStr">
        <is>
          <t>CP-04</t>
        </is>
      </c>
      <c r="B8" t="inlineStr">
        <is>
          <t>R² (3-point scaling law)</t>
        </is>
      </c>
      <c r="C8" t="inlineStr">
        <is>
          <t>0.995</t>
        </is>
      </c>
      <c r="D8" t="inlineStr">
        <is>
          <t>—</t>
        </is>
      </c>
      <c r="E8" t="inlineStr">
        <is>
          <t>Companion</t>
        </is>
      </c>
      <c r="F8" t="inlineStr">
        <is>
          <t>3.1</t>
        </is>
      </c>
      <c r="G8" t="inlineStr">
        <is>
          <t>decoherence_scaling_law.py</t>
        </is>
      </c>
      <c r="H8" t="inlineStr">
        <is>
          <t>Zenodo 11203148</t>
        </is>
      </c>
      <c r="I8" t="inlineStr">
        <is>
          <t>Mar 2026</t>
        </is>
      </c>
      <c r="J8" t="inlineStr">
        <is>
          <t>CONFIRMED</t>
        </is>
      </c>
    </row>
    <row r="9">
      <c r="A9" s="4" t="inlineStr">
        <is>
          <t>CP-05</t>
        </is>
      </c>
      <c r="B9" t="inlineStr">
        <is>
          <t>Monte Carlo p-value (R²=0.995 by chance, 3 pts)</t>
        </is>
      </c>
      <c r="C9" t="inlineStr">
        <is>
          <t>~0.042</t>
        </is>
      </c>
      <c r="D9" t="inlineStr">
        <is>
          <t>±0.002</t>
        </is>
      </c>
      <c r="E9" t="inlineStr">
        <is>
          <t>Companion</t>
        </is>
      </c>
      <c r="F9" t="inlineStr">
        <is>
          <t>3.1</t>
        </is>
      </c>
      <c r="G9" t="inlineStr">
        <is>
          <t>r2_monte_carlo.py</t>
        </is>
      </c>
      <c r="H9" t="inlineStr">
        <is>
          <t>Synthetic</t>
        </is>
      </c>
      <c r="I9" t="inlineStr">
        <is>
          <t>Mar 2026</t>
        </is>
      </c>
      <c r="J9" t="inlineStr">
        <is>
          <t>CONFIRMED</t>
        </is>
      </c>
    </row>
    <row r="10">
      <c r="A10" s="5" t="inlineStr">
        <is>
          <t>CP-06</t>
        </is>
      </c>
      <c r="B10" t="inlineStr">
        <is>
          <t>Q1 stretch exponent α</t>
        </is>
      </c>
      <c r="C10" t="inlineStr">
        <is>
          <t>2.163</t>
        </is>
      </c>
      <c r="D10" t="inlineStr">
        <is>
          <t>±0.194</t>
        </is>
      </c>
      <c r="E10" t="inlineStr">
        <is>
          <t>Companion</t>
        </is>
      </c>
      <c r="F10" t="inlineStr">
        <is>
          <t>3.1</t>
        </is>
      </c>
      <c r="G10" t="inlineStr">
        <is>
          <t>decoherence_scaling_law.py</t>
        </is>
      </c>
      <c r="H10" t="inlineStr">
        <is>
          <t>Zenodo 11203148</t>
        </is>
      </c>
      <c r="I10" t="inlineStr">
        <is>
          <t>Mar 2026</t>
        </is>
      </c>
      <c r="J10" t="inlineStr">
        <is>
          <t>CONFIRMED</t>
        </is>
      </c>
    </row>
    <row r="11">
      <c r="A11" s="4" t="inlineStr">
        <is>
          <t>CP-07</t>
        </is>
      </c>
      <c r="B11" t="inlineStr">
        <is>
          <t>Q2 stretch exponent α</t>
        </is>
      </c>
      <c r="C11" t="inlineStr">
        <is>
          <t>1.814</t>
        </is>
      </c>
      <c r="D11" t="inlineStr">
        <is>
          <t>±0.18</t>
        </is>
      </c>
      <c r="E11" t="inlineStr">
        <is>
          <t>Companion</t>
        </is>
      </c>
      <c r="F11" t="inlineStr">
        <is>
          <t>3.1</t>
        </is>
      </c>
      <c r="G11" t="inlineStr">
        <is>
          <t>decoherence_scaling_law.py</t>
        </is>
      </c>
      <c r="H11" t="inlineStr">
        <is>
          <t>Zenodo 11203148</t>
        </is>
      </c>
      <c r="I11" t="inlineStr">
        <is>
          <t>Mar 2026</t>
        </is>
      </c>
      <c r="J11" t="inlineStr">
        <is>
          <t>CONFIRMED</t>
        </is>
      </c>
    </row>
    <row r="12">
      <c r="A12" s="5" t="inlineStr">
        <is>
          <t>CP-08</t>
        </is>
      </c>
      <c r="B12" t="inlineStr">
        <is>
          <t>Q3 stretch exponent α</t>
        </is>
      </c>
      <c r="C12" t="inlineStr">
        <is>
          <t>1.355</t>
        </is>
      </c>
      <c r="D12" t="inlineStr">
        <is>
          <t>±0.14</t>
        </is>
      </c>
      <c r="E12" t="inlineStr">
        <is>
          <t>Companion</t>
        </is>
      </c>
      <c r="F12" t="inlineStr">
        <is>
          <t>3.1</t>
        </is>
      </c>
      <c r="G12" t="inlineStr">
        <is>
          <t>decoherence_scaling_law.py</t>
        </is>
      </c>
      <c r="H12" t="inlineStr">
        <is>
          <t>Zenodo 11203148</t>
        </is>
      </c>
      <c r="I12" t="inlineStr">
        <is>
          <t>Mar 2026</t>
        </is>
      </c>
      <c r="J12" t="inlineStr">
        <is>
          <t>CONFIRMED</t>
        </is>
      </c>
    </row>
    <row r="13">
      <c r="A13" s="4" t="inlineStr">
        <is>
          <t>CP-09</t>
        </is>
      </c>
      <c r="B13" t="inlineStr">
        <is>
          <t>Q4 excluded — R² of best fit</t>
        </is>
      </c>
      <c r="C13" t="inlineStr">
        <is>
          <t>0.641</t>
        </is>
      </c>
      <c r="D13" t="inlineStr">
        <is>
          <t>—</t>
        </is>
      </c>
      <c r="E13" t="inlineStr">
        <is>
          <t>Companion</t>
        </is>
      </c>
      <c r="F13" t="inlineStr">
        <is>
          <t>3.2</t>
        </is>
      </c>
      <c r="G13" t="inlineStr">
        <is>
          <t>q4_exclusion_analysis.py</t>
        </is>
      </c>
      <c r="H13" t="inlineStr">
        <is>
          <t>Zenodo 11203148</t>
        </is>
      </c>
      <c r="I13" t="inlineStr">
        <is>
          <t>Mar 2026</t>
        </is>
      </c>
      <c r="J13" t="inlineStr">
        <is>
          <t>CONFIRMED</t>
        </is>
      </c>
    </row>
    <row r="14">
      <c r="A14" s="5" t="inlineStr">
        <is>
          <t>CP-10</t>
        </is>
      </c>
      <c r="B14" t="inlineStr">
        <is>
          <t>Q4 envelope decay ratio (first/last)</t>
        </is>
      </c>
      <c r="C14" t="inlineStr">
        <is>
          <t>1.15×</t>
        </is>
      </c>
      <c r="D14" t="inlineStr">
        <is>
          <t>—</t>
        </is>
      </c>
      <c r="E14" t="inlineStr">
        <is>
          <t>Companion</t>
        </is>
      </c>
      <c r="F14" t="inlineStr">
        <is>
          <t>3.2</t>
        </is>
      </c>
      <c r="G14" t="inlineStr">
        <is>
          <t>q4_exclusion_analysis.py</t>
        </is>
      </c>
      <c r="H14" t="inlineStr">
        <is>
          <t>Zenodo 11203148</t>
        </is>
      </c>
      <c r="I14" t="inlineStr">
        <is>
          <t>Mar 2026</t>
        </is>
      </c>
      <c r="J14" t="inlineStr">
        <is>
          <t>CONFIRMED</t>
        </is>
      </c>
    </row>
    <row r="15">
      <c r="A15" s="4" t="inlineStr">
        <is>
          <t>CP-11</t>
        </is>
      </c>
      <c r="B15" t="inlineStr">
        <is>
          <t>Tsoukalas α (free fit)</t>
        </is>
      </c>
      <c r="C15" t="inlineStr">
        <is>
          <t>1.442</t>
        </is>
      </c>
      <c r="D15" t="inlineStr">
        <is>
          <t>±0.306 (1σ)</t>
        </is>
      </c>
      <c r="E15" t="inlineStr">
        <is>
          <t>Companion</t>
        </is>
      </c>
      <c r="F15" t="inlineStr">
        <is>
          <t>3.3</t>
        </is>
      </c>
      <c r="G15" t="inlineStr">
        <is>
          <t>tsoukalas_alpha_uncertainty.py</t>
        </is>
      </c>
      <c r="H15" t="inlineStr">
        <is>
          <t>Zenodo TBA</t>
        </is>
      </c>
      <c r="I15" t="inlineStr">
        <is>
          <t>Mar 2026</t>
        </is>
      </c>
      <c r="J15" t="inlineStr">
        <is>
          <t>CONFIRMED</t>
        </is>
      </c>
    </row>
    <row r="16">
      <c r="A16" s="5" t="inlineStr">
        <is>
          <t>CP-12</t>
        </is>
      </c>
      <c r="B16" t="inlineStr">
        <is>
          <t>Tsoukalas 95% CI</t>
        </is>
      </c>
      <c r="C16" t="inlineStr">
        <is>
          <t>[0.83, 2.05]</t>
        </is>
      </c>
      <c r="D16" t="inlineStr">
        <is>
          <t>—</t>
        </is>
      </c>
      <c r="E16" t="inlineStr">
        <is>
          <t>Companion</t>
        </is>
      </c>
      <c r="F16" t="inlineStr">
        <is>
          <t>3.3</t>
        </is>
      </c>
      <c r="G16" t="inlineStr">
        <is>
          <t>tsoukalas_alpha_uncertainty.py</t>
        </is>
      </c>
      <c r="H16" t="inlineStr">
        <is>
          <t>Zenodo TBA</t>
        </is>
      </c>
      <c r="I16" t="inlineStr">
        <is>
          <t>Mar 2026</t>
        </is>
      </c>
      <c r="J16" t="inlineStr">
        <is>
          <t>CONFIRMED</t>
        </is>
      </c>
    </row>
    <row r="17">
      <c r="A17" s="4" t="inlineStr">
        <is>
          <t>CP-13</t>
        </is>
      </c>
      <c r="B17" t="inlineStr">
        <is>
          <t>Tsoukalas fixed α=4/3 vs free: ΔR²</t>
        </is>
      </c>
      <c r="C17" t="inlineStr">
        <is>
          <t>0.0002</t>
        </is>
      </c>
      <c r="D17" t="inlineStr">
        <is>
          <t>—</t>
        </is>
      </c>
      <c r="E17" t="inlineStr">
        <is>
          <t>Companion</t>
        </is>
      </c>
      <c r="F17" t="inlineStr">
        <is>
          <t>3.3</t>
        </is>
      </c>
      <c r="G17" t="inlineStr">
        <is>
          <t>tsoukalas_alpha_uncertainty.py</t>
        </is>
      </c>
      <c r="H17" t="inlineStr">
        <is>
          <t>Zenodo TBA</t>
        </is>
      </c>
      <c r="I17" t="inlineStr">
        <is>
          <t>Mar 2026</t>
        </is>
      </c>
      <c r="J17" t="inlineStr">
        <is>
          <t>CONFIRMED</t>
        </is>
      </c>
    </row>
    <row r="18">
      <c r="A18" s="5" t="inlineStr">
        <is>
          <t>CP-14</t>
        </is>
      </c>
      <c r="B18" t="inlineStr">
        <is>
          <t>Tsoukalas fixed α=4/3 vs free: p-value</t>
        </is>
      </c>
      <c r="C18" t="inlineStr">
        <is>
          <t>0.72</t>
        </is>
      </c>
      <c r="D18" t="inlineStr">
        <is>
          <t>—</t>
        </is>
      </c>
      <c r="E18" t="inlineStr">
        <is>
          <t>Companion</t>
        </is>
      </c>
      <c r="F18" t="inlineStr">
        <is>
          <t>3.3</t>
        </is>
      </c>
      <c r="G18" t="inlineStr">
        <is>
          <t>tsoukalas_alpha_uncertainty.py</t>
        </is>
      </c>
      <c r="H18" t="inlineStr">
        <is>
          <t>Zenodo TBA</t>
        </is>
      </c>
      <c r="I18" t="inlineStr">
        <is>
          <t>Mar 2026</t>
        </is>
      </c>
      <c r="J18" t="inlineStr">
        <is>
          <t>CONFIRMED</t>
        </is>
      </c>
    </row>
    <row r="19">
      <c r="A19" s="4" t="inlineStr">
        <is>
          <t>CP-15</t>
        </is>
      </c>
      <c r="B19" t="inlineStr">
        <is>
          <t>Tsoukalas MBL excluded: p-value</t>
        </is>
      </c>
      <c r="C19" t="inlineStr">
        <is>
          <t>0.011</t>
        </is>
      </c>
      <c r="D19" t="inlineStr">
        <is>
          <t>—</t>
        </is>
      </c>
      <c r="E19" t="inlineStr">
        <is>
          <t>Companion</t>
        </is>
      </c>
      <c r="F19" t="inlineStr">
        <is>
          <t>3.3</t>
        </is>
      </c>
      <c r="G19" t="inlineStr">
        <is>
          <t>tsoukalas_alpha_uncertainty.py</t>
        </is>
      </c>
      <c r="H19" t="inlineStr">
        <is>
          <t>Zenodo TBA</t>
        </is>
      </c>
      <c r="I19" t="inlineStr">
        <is>
          <t>Mar 2026</t>
        </is>
      </c>
      <c r="J19" t="inlineStr">
        <is>
          <t>CONFIRMED</t>
        </is>
      </c>
    </row>
    <row r="20">
      <c r="A20" s="5" t="inlineStr">
        <is>
          <t>CP-16</t>
        </is>
      </c>
      <c r="B20" t="inlineStr">
        <is>
          <t>Q3-Q4 phase winding per shuttle</t>
        </is>
      </c>
      <c r="C20" t="inlineStr">
        <is>
          <t>−0.238 rad/shuttle</t>
        </is>
      </c>
      <c r="D20" t="inlineStr">
        <is>
          <t>±0.004</t>
        </is>
      </c>
      <c r="E20" t="inlineStr">
        <is>
          <t>Companion</t>
        </is>
      </c>
      <c r="F20" t="inlineStr">
        <is>
          <t>5.4.2</t>
        </is>
      </c>
      <c r="G20" t="inlineStr">
        <is>
          <t>phase_rotation_sense_test.py</t>
        </is>
      </c>
      <c r="H20" t="inlineStr">
        <is>
          <t>Zenodo 11203148</t>
        </is>
      </c>
      <c r="I20" t="inlineStr">
        <is>
          <t>Mar 2026</t>
        </is>
      </c>
      <c r="J20" t="inlineStr">
        <is>
          <t>CONFIRMED</t>
        </is>
      </c>
    </row>
    <row r="21">
      <c r="A21" s="4" t="inlineStr">
        <is>
          <t>CP-17</t>
        </is>
      </c>
      <c r="B21" t="inlineStr">
        <is>
          <t>Q2-Q3 phase winding per shuttle</t>
        </is>
      </c>
      <c r="C21" t="inlineStr">
        <is>
          <t>+1.61 rad/shuttle</t>
        </is>
      </c>
      <c r="D21" t="inlineStr">
        <is>
          <t>±0.095</t>
        </is>
      </c>
      <c r="E21" t="inlineStr">
        <is>
          <t>Companion</t>
        </is>
      </c>
      <c r="F21" t="inlineStr">
        <is>
          <t>5.4.2</t>
        </is>
      </c>
      <c r="G21" t="inlineStr">
        <is>
          <t>phase_rotation_sense_test.py</t>
        </is>
      </c>
      <c r="H21" t="inlineStr">
        <is>
          <t>Zenodo 11203148</t>
        </is>
      </c>
      <c r="I21" t="inlineStr">
        <is>
          <t>Mar 2026</t>
        </is>
      </c>
      <c r="J21" t="inlineStr">
        <is>
          <t>CONFIRMED</t>
        </is>
      </c>
    </row>
    <row r="22">
      <c r="A22" s="5" t="inlineStr">
        <is>
          <t>CP-18</t>
        </is>
      </c>
      <c r="B22" t="inlineStr">
        <is>
          <t>Phase winding ratio Q2-Q3 / Q3-Q4</t>
        </is>
      </c>
      <c r="C22" t="inlineStr">
        <is>
          <t>6.7×</t>
        </is>
      </c>
      <c r="D22" t="inlineStr">
        <is>
          <t>—</t>
        </is>
      </c>
      <c r="E22" t="inlineStr">
        <is>
          <t>Companion</t>
        </is>
      </c>
      <c r="F22" t="inlineStr">
        <is>
          <t>5.4.2</t>
        </is>
      </c>
      <c r="G22" t="inlineStr">
        <is>
          <t>phase_rotation_sense_test.py</t>
        </is>
      </c>
      <c r="H22" t="inlineStr">
        <is>
          <t>Zenodo 11203148</t>
        </is>
      </c>
      <c r="I22" t="inlineStr">
        <is>
          <t>Mar 2026</t>
        </is>
      </c>
      <c r="J22" t="inlineStr">
        <is>
          <t>CONFIRMED</t>
        </is>
      </c>
    </row>
    <row r="23">
      <c r="A23" s="4" t="inlineStr">
        <is>
          <t>CP-19</t>
        </is>
      </c>
      <c r="B23" t="inlineStr">
        <is>
          <t>Spin asymmetry N*(up)/N*(down) at Q3-Q4</t>
        </is>
      </c>
      <c r="C23" t="inlineStr">
        <is>
          <t>6.71×</t>
        </is>
      </c>
      <c r="D23" t="inlineStr">
        <is>
          <t>—</t>
        </is>
      </c>
      <c r="E23" t="inlineStr">
        <is>
          <t>Companion</t>
        </is>
      </c>
      <c r="F23" t="inlineStr">
        <is>
          <t>5.4.2</t>
        </is>
      </c>
      <c r="G23" t="inlineStr">
        <is>
          <t>decoherence_scaling_law.py</t>
        </is>
      </c>
      <c r="H23" t="inlineStr">
        <is>
          <t>Zenodo 11203148</t>
        </is>
      </c>
      <c r="I23" t="inlineStr">
        <is>
          <t>Mar 2026</t>
        </is>
      </c>
      <c r="J23" t="inlineStr">
        <is>
          <t>CONFIRMED</t>
        </is>
      </c>
    </row>
    <row r="24">
      <c r="A24" s="5" t="inlineStr">
        <is>
          <t>CP-20</t>
        </is>
      </c>
      <c r="B24" t="inlineStr">
        <is>
          <t>cos(θ) = g_ratio identity: Q3-Q4 deviation</t>
        </is>
      </c>
      <c r="C24" t="inlineStr">
        <is>
          <t>0.8%</t>
        </is>
      </c>
      <c r="D24" t="inlineStr">
        <is>
          <t>—</t>
        </is>
      </c>
      <c r="E24" t="inlineStr">
        <is>
          <t>Companion</t>
        </is>
      </c>
      <c r="F24" t="inlineStr">
        <is>
          <t>5.4</t>
        </is>
      </c>
      <c r="G24" t="inlineStr">
        <is>
          <t>pairwise_cos_theta_analysis.py</t>
        </is>
      </c>
      <c r="H24" t="inlineStr">
        <is>
          <t>Zenodo 11203148</t>
        </is>
      </c>
      <c r="I24" t="inlineStr">
        <is>
          <t>Mar 2026</t>
        </is>
      </c>
      <c r="J24" t="inlineStr">
        <is>
          <t>CONFIRMED</t>
        </is>
      </c>
    </row>
    <row r="25">
      <c r="A25" s="4" t="inlineStr">
        <is>
          <t>CP-21</t>
        </is>
      </c>
      <c r="B25" t="inlineStr">
        <is>
          <t>cos(θ) = g_ratio identity: Q2-Q3 deviation</t>
        </is>
      </c>
      <c r="C25" t="inlineStr">
        <is>
          <t>21.5%</t>
        </is>
      </c>
      <c r="D25" t="inlineStr">
        <is>
          <t>—</t>
        </is>
      </c>
      <c r="E25" t="inlineStr">
        <is>
          <t>Companion</t>
        </is>
      </c>
      <c r="F25" t="inlineStr">
        <is>
          <t>5.4</t>
        </is>
      </c>
      <c r="G25" t="inlineStr">
        <is>
          <t>pairwise_cos_theta_analysis.py</t>
        </is>
      </c>
      <c r="H25" t="inlineStr">
        <is>
          <t>Zenodo 11203148</t>
        </is>
      </c>
      <c r="I25" t="inlineStr">
        <is>
          <t>Mar 2026</t>
        </is>
      </c>
      <c r="J25" t="inlineStr">
        <is>
          <t>CONFIRMED</t>
        </is>
      </c>
    </row>
    <row r="26">
      <c r="A26" s="5" t="inlineStr">
        <is>
          <t>CP-22</t>
        </is>
      </c>
      <c r="B26" t="inlineStr">
        <is>
          <t>Z₂ spin asymmetry Q2-Q3 (N*/N* ratio)</t>
        </is>
      </c>
      <c r="C26" t="inlineStr">
        <is>
          <t>1.46×</t>
        </is>
      </c>
      <c r="D26" t="inlineStr">
        <is>
          <t>—</t>
        </is>
      </c>
      <c r="E26" t="inlineStr">
        <is>
          <t>Companion</t>
        </is>
      </c>
      <c r="F26" t="inlineStr">
        <is>
          <t>5.1</t>
        </is>
      </c>
      <c r="G26" t="inlineStr">
        <is>
          <t>decoherence_scaling_law.py</t>
        </is>
      </c>
      <c r="H26" t="inlineStr">
        <is>
          <t>Zenodo 11203148</t>
        </is>
      </c>
      <c r="I26" t="inlineStr">
        <is>
          <t>Mar 2026</t>
        </is>
      </c>
      <c r="J26" t="inlineStr">
        <is>
          <t>CONFIRMED</t>
        </is>
      </c>
    </row>
    <row r="27">
      <c r="A27" s="4" t="inlineStr">
        <is>
          <t>CP-23</t>
        </is>
      </c>
      <c r="B27" t="inlineStr">
        <is>
          <t>Z₂ spin asymmetry Q3-Q4 (N*/N* ratio)</t>
        </is>
      </c>
      <c r="C27" t="inlineStr">
        <is>
          <t>6.71×</t>
        </is>
      </c>
      <c r="D27" t="inlineStr">
        <is>
          <t>—</t>
        </is>
      </c>
      <c r="E27" t="inlineStr">
        <is>
          <t>Companion</t>
        </is>
      </c>
      <c r="F27" t="inlineStr">
        <is>
          <t>5.1</t>
        </is>
      </c>
      <c r="G27" t="inlineStr">
        <is>
          <t>decoherence_scaling_law.py</t>
        </is>
      </c>
      <c r="H27" t="inlineStr">
        <is>
          <t>Zenodo 11203148</t>
        </is>
      </c>
      <c r="I27" t="inlineStr">
        <is>
          <t>Mar 2026</t>
        </is>
      </c>
      <c r="J27" t="inlineStr">
        <is>
          <t>CONFIRMED</t>
        </is>
      </c>
    </row>
    <row r="28">
      <c r="A28" s="5" t="inlineStr">
        <is>
          <t>CP-24</t>
        </is>
      </c>
      <c r="B28" t="inlineStr">
        <is>
          <t>Noise CV across geometries (β variation)</t>
        </is>
      </c>
      <c r="C28" t="inlineStr">
        <is>
          <t>44%</t>
        </is>
      </c>
      <c r="D28" t="inlineStr">
        <is>
          <t>—</t>
        </is>
      </c>
      <c r="E28" t="inlineStr">
        <is>
          <t>Companion</t>
        </is>
      </c>
      <c r="F28" t="inlineStr">
        <is>
          <t>5.2</t>
        </is>
      </c>
      <c r="G28" t="inlineStr">
        <is>
          <t>noise_spectrum_analysis.py</t>
        </is>
      </c>
      <c r="H28" t="inlineStr">
        <is>
          <t>Zenodo 11203148</t>
        </is>
      </c>
      <c r="I28" t="inlineStr">
        <is>
          <t>Mar 2026</t>
        </is>
      </c>
      <c r="J28" t="inlineStr">
        <is>
          <t>CONFIRMED</t>
        </is>
      </c>
    </row>
    <row r="29">
      <c r="A29" s="4" t="inlineStr">
        <is>
          <t>CP-25</t>
        </is>
      </c>
      <c r="B29" t="inlineStr">
        <is>
          <t>Berry phase measured vs predicted (ratio)</t>
        </is>
      </c>
      <c r="C29" t="inlineStr">
        <is>
          <t>0.141 / 5.63 rad</t>
        </is>
      </c>
      <c r="D29" t="inlineStr">
        <is>
          <t>—</t>
        </is>
      </c>
      <c r="E29" t="inlineStr">
        <is>
          <t>Companion</t>
        </is>
      </c>
      <c r="F29" t="inlineStr">
        <is>
          <t>5.3</t>
        </is>
      </c>
      <c r="G29" t="inlineStr">
        <is>
          <t>berry_phase_analysis.py</t>
        </is>
      </c>
      <c r="H29" t="inlineStr">
        <is>
          <t>Zenodo 11203148</t>
        </is>
      </c>
      <c r="I29" t="inlineStr">
        <is>
          <t>Mar 2026</t>
        </is>
      </c>
      <c r="J29" t="inlineStr">
        <is>
          <t>CONFIRMED</t>
        </is>
      </c>
    </row>
    <row r="30">
      <c r="A30" s="5" t="inlineStr">
        <is>
          <t>CP-26</t>
        </is>
      </c>
      <c r="B30" t="inlineStr">
        <is>
          <t>Jadot singlet survival at first recurrence</t>
        </is>
      </c>
      <c r="C30" t="inlineStr">
        <is>
          <t>0.529</t>
        </is>
      </c>
      <c r="D30" t="inlineStr">
        <is>
          <t>±0.013</t>
        </is>
      </c>
      <c r="E30" t="inlineStr">
        <is>
          <t>Companion</t>
        </is>
      </c>
      <c r="F30" t="inlineStr">
        <is>
          <t>7.5</t>
        </is>
      </c>
      <c r="G30" t="inlineStr">
        <is>
          <t>jadot_fig4c_analysis.py</t>
        </is>
      </c>
      <c r="H30" t="inlineStr">
        <is>
          <t>Zenodo 4115984</t>
        </is>
      </c>
      <c r="I30" t="inlineStr">
        <is>
          <t>Mar 2026</t>
        </is>
      </c>
      <c r="J30" t="inlineStr">
        <is>
          <t>CONFIRMED</t>
        </is>
      </c>
    </row>
    <row r="31">
      <c r="A31" s="4" t="inlineStr">
        <is>
          <t>CP-27</t>
        </is>
      </c>
      <c r="B31" t="inlineStr">
        <is>
          <t>Geyer exchange anisotropy (max range)</t>
        </is>
      </c>
      <c r="C31" t="inlineStr">
        <is>
          <t>40–250%</t>
        </is>
      </c>
      <c r="D31" t="inlineStr">
        <is>
          <t>—</t>
        </is>
      </c>
      <c r="E31" t="inlineStr">
        <is>
          <t>Companion</t>
        </is>
      </c>
      <c r="F31" t="inlineStr">
        <is>
          <t>7.5</t>
        </is>
      </c>
      <c r="G31" t="inlineStr">
        <is>
          <t>anisotropic_exchange_analysis.py</t>
        </is>
      </c>
      <c r="H31" t="inlineStr">
        <is>
          <t>Zenodo 7547764</t>
        </is>
      </c>
      <c r="I31" t="inlineStr">
        <is>
          <t>Mar 2026</t>
        </is>
      </c>
      <c r="J31" t="inlineStr">
        <is>
          <t>CONFIRMED</t>
        </is>
      </c>
    </row>
    <row r="32">
      <c r="A32" s="5" t="inlineStr">
        <is>
          <t>P2-01</t>
        </is>
      </c>
      <c r="B32" t="inlineStr">
        <is>
          <t>Cross-platform α range (all platforms)</t>
        </is>
      </c>
      <c r="C32" t="inlineStr">
        <is>
          <t>1.25–1.44</t>
        </is>
      </c>
      <c r="D32" t="inlineStr">
        <is>
          <t>—</t>
        </is>
      </c>
      <c r="E32" t="inlineStr">
        <is>
          <t>Paper 2</t>
        </is>
      </c>
      <c r="F32" t="inlineStr">
        <is>
          <t>1</t>
        </is>
      </c>
      <c r="G32" t="inlineStr">
        <is>
          <t>disorder_sweep.py</t>
        </is>
      </c>
      <c r="H32" t="inlineStr">
        <is>
          <t>Multiple</t>
        </is>
      </c>
      <c r="I32" t="inlineStr">
        <is>
          <t>Mar 2026</t>
        </is>
      </c>
      <c r="J32" t="inlineStr">
        <is>
          <t>CONFIRMED</t>
        </is>
      </c>
    </row>
    <row r="33">
      <c r="A33" s="4" t="inlineStr">
        <is>
          <t>P2-02</t>
        </is>
      </c>
      <c r="B33" t="inlineStr">
        <is>
          <t>Xiang zero-disorder α (mean Q0-Q3)</t>
        </is>
      </c>
      <c r="C33" t="inlineStr">
        <is>
          <t>~1.3</t>
        </is>
      </c>
      <c r="D33" t="inlineStr">
        <is>
          <t>—</t>
        </is>
      </c>
      <c r="E33" t="inlineStr">
        <is>
          <t>Paper 2</t>
        </is>
      </c>
      <c r="F33" t="inlineStr">
        <is>
          <t>3</t>
        </is>
      </c>
      <c r="G33" t="inlineStr">
        <is>
          <t>disorder_sweep.py</t>
        </is>
      </c>
      <c r="H33" t="inlineStr">
        <is>
          <t>Zenodo 13692134</t>
        </is>
      </c>
      <c r="I33" t="inlineStr">
        <is>
          <t>Mar 2026</t>
        </is>
      </c>
      <c r="J33" t="inlineStr">
        <is>
          <t>CONFIRMED</t>
        </is>
      </c>
    </row>
    <row r="34">
      <c r="A34" s="5" t="inlineStr">
        <is>
          <t>P2-03</t>
        </is>
      </c>
      <c r="B34" t="inlineStr">
        <is>
          <t>Mi MBL α (negative control)</t>
        </is>
      </c>
      <c r="C34" t="inlineStr">
        <is>
          <t>0.82</t>
        </is>
      </c>
      <c r="D34" t="inlineStr">
        <is>
          <t>—</t>
        </is>
      </c>
      <c r="E34" t="inlineStr">
        <is>
          <t>Paper 2</t>
        </is>
      </c>
      <c r="F34" t="inlineStr">
        <is>
          <t>3</t>
        </is>
      </c>
      <c r="G34" t="inlineStr">
        <is>
          <t>disorder_sweep.py</t>
        </is>
      </c>
      <c r="H34" t="inlineStr">
        <is>
          <t>Zenodo 5570676</t>
        </is>
      </c>
      <c r="I34" t="inlineStr">
        <is>
          <t>Mar 2026</t>
        </is>
      </c>
      <c r="J34" t="inlineStr">
        <is>
          <t>CONFIRMED</t>
        </is>
      </c>
    </row>
    <row r="35">
      <c r="A35" s="4" t="inlineStr">
        <is>
          <t>P2-04</t>
        </is>
      </c>
      <c r="B35" t="inlineStr">
        <is>
          <t>Pearson r (α vs DTC order, full 17-pt disorder sweep); linear model α = 1.30×O + 0.37, R²=0.84</t>
        </is>
      </c>
      <c r="C35" t="inlineStr">
        <is>
          <t>0.915</t>
        </is>
      </c>
      <c r="D35" t="inlineStr">
        <is>
          <t>SE=0.039 (jackknife)</t>
        </is>
      </c>
      <c r="E35" t="inlineStr">
        <is>
          <t>Paper 2</t>
        </is>
      </c>
      <c r="F35" t="inlineStr">
        <is>
          <t>6.4</t>
        </is>
      </c>
      <c r="G35" t="inlineStr">
        <is>
          <t>disorder_sweep.py</t>
        </is>
      </c>
      <c r="H35" t="inlineStr">
        <is>
          <t>Zenodo 13692134</t>
        </is>
      </c>
      <c r="I35" t="inlineStr">
        <is>
          <t>Mar 2026</t>
        </is>
      </c>
      <c r="J35" t="inlineStr">
        <is>
          <t>CONFIRMED</t>
        </is>
      </c>
    </row>
    <row r="36">
      <c r="A36" s="5" t="inlineStr">
        <is>
          <t>P2-05</t>
        </is>
      </c>
      <c r="B36" t="inlineStr">
        <is>
          <t>p-value (r=0.915, 17 points); jackknife min r=0.901, max r=0.943 — no single point drives result</t>
        </is>
      </c>
      <c r="C36" t="inlineStr">
        <is>
          <t>&lt; 10⁻⁶</t>
        </is>
      </c>
      <c r="D36" t="inlineStr">
        <is>
          <t>Spearman ρ=0.934</t>
        </is>
      </c>
      <c r="E36" t="inlineStr">
        <is>
          <t>Paper 2</t>
        </is>
      </c>
      <c r="F36" t="inlineStr">
        <is>
          <t>6.4</t>
        </is>
      </c>
      <c r="G36" t="inlineStr">
        <is>
          <t>disorder_sweep.py</t>
        </is>
      </c>
      <c r="H36" t="inlineStr">
        <is>
          <t>Zenodo 13692134</t>
        </is>
      </c>
      <c r="I36" t="inlineStr">
        <is>
          <t>Mar 2026</t>
        </is>
      </c>
      <c r="J36" t="inlineStr">
        <is>
          <t>CONFIRMED</t>
        </is>
      </c>
    </row>
    <row r="37">
      <c r="A37" s="4" t="inlineStr">
        <is>
          <t>P2-06</t>
        </is>
      </c>
      <c r="B37" t="inlineStr">
        <is>
          <t>Bernstein ceiling: Palmer-Stein α max</t>
        </is>
      </c>
      <c r="C37" t="inlineStr">
        <is>
          <t>≤1.0 (b→∞)</t>
        </is>
      </c>
      <c r="D37" t="inlineStr">
        <is>
          <t>—</t>
        </is>
      </c>
      <c r="E37" t="inlineStr">
        <is>
          <t>Paper 2</t>
        </is>
      </c>
      <c r="F37" t="inlineStr">
        <is>
          <t>6.1</t>
        </is>
      </c>
      <c r="G37" t="inlineStr">
        <is>
          <t>stroboscopic_doubling_test.py</t>
        </is>
      </c>
      <c r="H37" t="inlineStr">
        <is>
          <t>Synthetic</t>
        </is>
      </c>
      <c r="I37" t="inlineStr">
        <is>
          <t>Mar 2026</t>
        </is>
      </c>
      <c r="J37" t="inlineStr">
        <is>
          <t>CONFIRMED</t>
        </is>
      </c>
    </row>
    <row r="38">
      <c r="A38" s="5" t="inlineStr">
        <is>
          <t>P2-07</t>
        </is>
      </c>
      <c r="B38" t="inlineStr">
        <is>
          <t>Palmer-Stein b=2: α_fit</t>
        </is>
      </c>
      <c r="C38" t="inlineStr">
        <is>
          <t>0.64</t>
        </is>
      </c>
      <c r="D38" t="inlineStr">
        <is>
          <t>—</t>
        </is>
      </c>
      <c r="E38" t="inlineStr">
        <is>
          <t>Paper 2</t>
        </is>
      </c>
      <c r="F38" t="inlineStr">
        <is>
          <t>6.1</t>
        </is>
      </c>
      <c r="G38" t="inlineStr">
        <is>
          <t>stroboscopic_doubling_test.py</t>
        </is>
      </c>
      <c r="H38" t="inlineStr">
        <is>
          <t>Synthetic</t>
        </is>
      </c>
      <c r="I38" t="inlineStr">
        <is>
          <t>Mar 2026</t>
        </is>
      </c>
      <c r="J38" t="inlineStr">
        <is>
          <t>CONFIRMED</t>
        </is>
      </c>
    </row>
    <row r="39">
      <c r="A39" s="4" t="inlineStr">
        <is>
          <t>P2-08</t>
        </is>
      </c>
      <c r="B39" t="inlineStr">
        <is>
          <t>Palmer-Stein b=4: α_fit</t>
        </is>
      </c>
      <c r="C39" t="inlineStr">
        <is>
          <t>0.85</t>
        </is>
      </c>
      <c r="D39" t="inlineStr">
        <is>
          <t>—</t>
        </is>
      </c>
      <c r="E39" t="inlineStr">
        <is>
          <t>Paper 2</t>
        </is>
      </c>
      <c r="F39" t="inlineStr">
        <is>
          <t>6.1</t>
        </is>
      </c>
      <c r="G39" t="inlineStr">
        <is>
          <t>stroboscopic_doubling_test.py</t>
        </is>
      </c>
      <c r="H39" t="inlineStr">
        <is>
          <t>Synthetic</t>
        </is>
      </c>
      <c r="I39" t="inlineStr">
        <is>
          <t>Mar 2026</t>
        </is>
      </c>
      <c r="J39" t="inlineStr">
        <is>
          <t>CONFIRMED</t>
        </is>
      </c>
    </row>
    <row r="40">
      <c r="A40" s="5" t="inlineStr">
        <is>
          <t>P2-09</t>
        </is>
      </c>
      <c r="B40" t="inlineStr">
        <is>
          <t>Two-time correlation: NN mean C_ij (Xiang)</t>
        </is>
      </c>
      <c r="C40" t="inlineStr">
        <is>
          <t>0.409</t>
        </is>
      </c>
      <c r="D40" t="inlineStr">
        <is>
          <t>—</t>
        </is>
      </c>
      <c r="E40" t="inlineStr">
        <is>
          <t>Paper 2</t>
        </is>
      </c>
      <c r="F40" t="inlineStr">
        <is>
          <t>6.1</t>
        </is>
      </c>
      <c r="G40" t="inlineStr">
        <is>
          <t>two_time_correlation_test.py</t>
        </is>
      </c>
      <c r="H40" t="inlineStr">
        <is>
          <t>Zenodo 13692134</t>
        </is>
      </c>
      <c r="I40" t="inlineStr">
        <is>
          <t>Mar 2026</t>
        </is>
      </c>
      <c r="J40" t="inlineStr">
        <is>
          <t>CONFIRMED</t>
        </is>
      </c>
    </row>
    <row r="41">
      <c r="A41" s="4" t="inlineStr">
        <is>
          <t>P2-10</t>
        </is>
      </c>
      <c r="B41" t="inlineStr">
        <is>
          <t>Two-time correlation: conditional ratio max</t>
        </is>
      </c>
      <c r="C41" t="inlineStr">
        <is>
          <t>3.11×</t>
        </is>
      </c>
      <c r="D41" t="inlineStr">
        <is>
          <t>—</t>
        </is>
      </c>
      <c r="E41" t="inlineStr">
        <is>
          <t>Paper 2</t>
        </is>
      </c>
      <c r="F41" t="inlineStr">
        <is>
          <t>6.1</t>
        </is>
      </c>
      <c r="G41" t="inlineStr">
        <is>
          <t>two_time_correlation_test.py</t>
        </is>
      </c>
      <c r="H41" t="inlineStr">
        <is>
          <t>Zenodo 13692134</t>
        </is>
      </c>
      <c r="I41" t="inlineStr">
        <is>
          <t>Mar 2026</t>
        </is>
      </c>
      <c r="J41" t="inlineStr">
        <is>
          <t>CONFIRMED</t>
        </is>
      </c>
    </row>
    <row r="42">
      <c r="A42" s="5" t="inlineStr">
        <is>
          <t>P2-11</t>
        </is>
      </c>
      <c r="B42" t="inlineStr">
        <is>
          <t>Two-time correlation: Mi MBL off-diag mean</t>
        </is>
      </c>
      <c r="C42" t="inlineStr">
        <is>
          <t>−0.014</t>
        </is>
      </c>
      <c r="D42" t="inlineStr">
        <is>
          <t>—</t>
        </is>
      </c>
      <c r="E42" t="inlineStr">
        <is>
          <t>Paper 2</t>
        </is>
      </c>
      <c r="F42" t="inlineStr">
        <is>
          <t>6.1</t>
        </is>
      </c>
      <c r="G42" t="inlineStr">
        <is>
          <t>two_time_correlation_test.py</t>
        </is>
      </c>
      <c r="H42" t="inlineStr">
        <is>
          <t>Zenodo 5570676</t>
        </is>
      </c>
      <c r="I42" t="inlineStr">
        <is>
          <t>Mar 2026</t>
        </is>
      </c>
      <c r="J42" t="inlineStr">
        <is>
          <t>CONFIRMED</t>
        </is>
      </c>
    </row>
    <row r="43">
      <c r="A43" s="4" t="inlineStr">
        <is>
          <t>P2-12</t>
        </is>
      </c>
      <c r="B43" t="inlineStr">
        <is>
          <t>Cooperative cascade correlation length ξ</t>
        </is>
      </c>
      <c r="C43" t="inlineStr">
        <is>
          <t>3.0 qubit spacings</t>
        </is>
      </c>
      <c r="D43" t="inlineStr">
        <is>
          <t>—</t>
        </is>
      </c>
      <c r="E43" t="inlineStr">
        <is>
          <t>Paper 2</t>
        </is>
      </c>
      <c r="F43" t="inlineStr">
        <is>
          <t>6.1</t>
        </is>
      </c>
      <c r="G43" t="inlineStr">
        <is>
          <t>two_time_correlation_test.py</t>
        </is>
      </c>
      <c r="H43" t="inlineStr">
        <is>
          <t>Zenodo 13692134</t>
        </is>
      </c>
      <c r="I43" t="inlineStr">
        <is>
          <t>Mar 2026</t>
        </is>
      </c>
      <c r="J43" t="inlineStr">
        <is>
          <t>CONFIRMED</t>
        </is>
      </c>
    </row>
    <row r="44">
      <c r="A44" s="5" t="inlineStr">
        <is>
          <t>P2-13</t>
        </is>
      </c>
      <c r="B44" t="inlineStr">
        <is>
          <t>Short-time scaling γ (Xiang, early time)</t>
        </is>
      </c>
      <c r="C44" t="inlineStr">
        <is>
          <t>0.994 ≈ 1</t>
        </is>
      </c>
      <c r="D44" t="inlineStr">
        <is>
          <t>—</t>
        </is>
      </c>
      <c r="E44" t="inlineStr">
        <is>
          <t>Paper 2</t>
        </is>
      </c>
      <c r="F44" t="inlineStr">
        <is>
          <t>6.1</t>
        </is>
      </c>
      <c r="G44" t="inlineStr">
        <is>
          <t>short_time_scaling_test.py</t>
        </is>
      </c>
      <c r="H44" t="inlineStr">
        <is>
          <t>Zenodo 13692134</t>
        </is>
      </c>
      <c r="I44" t="inlineStr">
        <is>
          <t>Mar 2026</t>
        </is>
      </c>
      <c r="J44" t="inlineStr">
        <is>
          <t>CONFIRMED</t>
        </is>
      </c>
    </row>
    <row r="45">
      <c r="A45" s="4" t="inlineStr">
        <is>
          <t>P2-14</t>
        </is>
      </c>
      <c r="B45" t="inlineStr">
        <is>
          <t>Cooperative cascade crossover period n*</t>
        </is>
      </c>
      <c r="C45" t="inlineStr">
        <is>
          <t>~8–15 Floquet periods (95% CI [6,15])</t>
        </is>
      </c>
      <c r="D45" t="inlineStr">
        <is>
          <t>poorly localised; h(E₆)=12 within CI but not confirmable</t>
        </is>
      </c>
      <c r="E45" t="inlineStr">
        <is>
          <t>Paper 2</t>
        </is>
      </c>
      <c r="F45" t="inlineStr">
        <is>
          <t>6.1</t>
        </is>
      </c>
      <c r="G45" t="inlineStr">
        <is>
          <t>short_time_scaling_test.py</t>
        </is>
      </c>
      <c r="H45" t="inlineStr">
        <is>
          <t>Zenodo 13692134</t>
        </is>
      </c>
      <c r="I45" t="inlineStr">
        <is>
          <t>Mar 2026</t>
        </is>
      </c>
      <c r="J45" t="inlineStr">
        <is>
          <t>HEDGED</t>
        </is>
      </c>
    </row>
    <row r="46">
      <c r="A46" s="5" t="inlineStr">
        <is>
          <t>P2-15</t>
        </is>
      </c>
      <c r="B46" t="inlineStr">
        <is>
          <t>Xiang full α range (Q0-Q3)</t>
        </is>
      </c>
      <c r="C46" t="inlineStr">
        <is>
          <t>1.046–1.138</t>
        </is>
      </c>
      <c r="D46" t="inlineStr">
        <is>
          <t>—</t>
        </is>
      </c>
      <c r="E46" t="inlineStr">
        <is>
          <t>Paper 2</t>
        </is>
      </c>
      <c r="F46" t="inlineStr">
        <is>
          <t>6.1</t>
        </is>
      </c>
      <c r="G46" t="inlineStr">
        <is>
          <t>short_time_scaling_test.py</t>
        </is>
      </c>
      <c r="H46" t="inlineStr">
        <is>
          <t>Zenodo 13692134</t>
        </is>
      </c>
      <c r="I46" t="inlineStr">
        <is>
          <t>Mar 2026</t>
        </is>
      </c>
      <c r="J46" t="inlineStr">
        <is>
          <t>CONFIRMED</t>
        </is>
      </c>
    </row>
    <row r="47">
      <c r="A47" s="4" t="inlineStr">
        <is>
          <t>P2-16</t>
        </is>
      </c>
      <c r="B47" t="inlineStr">
        <is>
          <t>Mi γ (short-time power law)</t>
        </is>
      </c>
      <c r="C47" t="inlineStr">
        <is>
          <t>0.79</t>
        </is>
      </c>
      <c r="D47" t="inlineStr">
        <is>
          <t>—</t>
        </is>
      </c>
      <c r="E47" t="inlineStr">
        <is>
          <t>Paper 2</t>
        </is>
      </c>
      <c r="F47" t="inlineStr">
        <is>
          <t>6.1</t>
        </is>
      </c>
      <c r="G47" t="inlineStr">
        <is>
          <t>short_time_scaling_test.py</t>
        </is>
      </c>
      <c r="H47" t="inlineStr">
        <is>
          <t>Zenodo 5570676</t>
        </is>
      </c>
      <c r="I47" t="inlineStr">
        <is>
          <t>Mar 2026</t>
        </is>
      </c>
      <c r="J47" t="inlineStr">
        <is>
          <t>CONFIRMED</t>
        </is>
      </c>
    </row>
    <row r="48">
      <c r="A48" s="4" t="inlineStr">
        <is>
          <t>P2-17</t>
        </is>
      </c>
      <c r="B48" t="inlineStr">
        <is>
          <t>Spearman ρ (α vs DTC order, rank-robust)</t>
        </is>
      </c>
      <c r="C48" t="inlineStr">
        <is>
          <t>0.934</t>
        </is>
      </c>
      <c r="D48" t="inlineStr">
        <is>
          <t>—</t>
        </is>
      </c>
      <c r="E48" t="inlineStr">
        <is>
          <t>Paper 2</t>
        </is>
      </c>
      <c r="F48" t="inlineStr">
        <is>
          <t>6.4</t>
        </is>
      </c>
      <c r="G48" t="inlineStr">
        <is>
          <t>disorder_sweep.py</t>
        </is>
      </c>
      <c r="H48" t="inlineStr">
        <is>
          <t>Zenodo 13692134</t>
        </is>
      </c>
      <c r="I48" t="inlineStr">
        <is>
          <t>Mar 2026</t>
        </is>
      </c>
      <c r="J48" t="inlineStr">
        <is>
          <t>CONFIRMED</t>
        </is>
      </c>
    </row>
    <row r="49">
      <c r="A49" s="5" t="inlineStr">
        <is>
          <t>P2-18</t>
        </is>
      </c>
      <c r="B49" t="inlineStr">
        <is>
          <t>Jackknife r — minimum (leave-one-out)</t>
        </is>
      </c>
      <c r="C49" t="inlineStr">
        <is>
          <t>0.901</t>
        </is>
      </c>
      <c r="D49" t="inlineStr">
        <is>
          <t>SE=0.039</t>
        </is>
      </c>
      <c r="E49" t="inlineStr">
        <is>
          <t>Paper 2</t>
        </is>
      </c>
      <c r="F49" t="inlineStr">
        <is>
          <t>6.4</t>
        </is>
      </c>
      <c r="G49" t="inlineStr">
        <is>
          <t>disorder_sweep.py</t>
        </is>
      </c>
      <c r="H49" t="inlineStr">
        <is>
          <t>Zenodo 13692134</t>
        </is>
      </c>
      <c r="I49" t="inlineStr">
        <is>
          <t>Mar 2026</t>
        </is>
      </c>
      <c r="J49" t="inlineStr">
        <is>
          <t>CONFIRMED</t>
        </is>
      </c>
    </row>
    <row r="50">
      <c r="A50" s="4" t="inlineStr">
        <is>
          <t>P2-19</t>
        </is>
      </c>
      <c r="B50" t="inlineStr">
        <is>
          <t>Disorder sweep: α peak at W=0.1 (pre-lock maximum)</t>
        </is>
      </c>
      <c r="C50" t="inlineStr">
        <is>
          <t>α=1.13 at W=0.1</t>
        </is>
      </c>
      <c r="D50" t="inlineStr">
        <is>
          <t>—</t>
        </is>
      </c>
      <c r="E50" t="inlineStr">
        <is>
          <t>Paper 2</t>
        </is>
      </c>
      <c r="F50" t="inlineStr">
        <is>
          <t>6.4 + Companion 6.1</t>
        </is>
      </c>
      <c r="G50" t="inlineStr">
        <is>
          <t>disorder_sweep.py</t>
        </is>
      </c>
      <c r="H50" t="inlineStr">
        <is>
          <t>Zenodo 13692134</t>
        </is>
      </c>
      <c r="I50" t="inlineStr">
        <is>
          <t>Mar 2026</t>
        </is>
      </c>
      <c r="J50" t="inlineStr">
        <is>
          <t>CONFIRMED</t>
        </is>
      </c>
    </row>
    <row r="51">
      <c r="A51" s="5" t="inlineStr">
        <is>
          <t>P2-20</t>
        </is>
      </c>
      <c r="B51" t="inlineStr">
        <is>
          <t>Disorder sweep: deep MBL α at W=3.0</t>
        </is>
      </c>
      <c r="C51" t="inlineStr">
        <is>
          <t>α≈0.32</t>
        </is>
      </c>
      <c r="D51" t="inlineStr">
        <is>
          <t>—</t>
        </is>
      </c>
      <c r="E51" t="inlineStr">
        <is>
          <t>Paper 2</t>
        </is>
      </c>
      <c r="F51" t="inlineStr">
        <is>
          <t>6.4</t>
        </is>
      </c>
      <c r="G51" t="inlineStr">
        <is>
          <t>disorder_sweep.py</t>
        </is>
      </c>
      <c r="H51" t="inlineStr">
        <is>
          <t>Zenodo 13692134</t>
        </is>
      </c>
      <c r="I51" t="inlineStr">
        <is>
          <t>Mar 2026</t>
        </is>
      </c>
      <c r="J51" t="inlineStr">
        <is>
          <t>CONFIRMED</t>
        </is>
      </c>
    </row>
    <row r="52">
      <c r="A52" s="4" t="inlineStr">
        <is>
          <t>P2-21</t>
        </is>
      </c>
      <c r="B52" t="inlineStr">
        <is>
          <t>Linear model slope: α vs DTC order</t>
        </is>
      </c>
      <c r="C52" t="inlineStr">
        <is>
          <t>1.30</t>
        </is>
      </c>
      <c r="D52" t="inlineStr">
        <is>
          <t>—</t>
        </is>
      </c>
      <c r="E52" t="inlineStr">
        <is>
          <t>Paper 2</t>
        </is>
      </c>
      <c r="F52" t="inlineStr">
        <is>
          <t>6.4</t>
        </is>
      </c>
      <c r="G52" t="inlineStr">
        <is>
          <t>disorder_sweep.py</t>
        </is>
      </c>
      <c r="H52" t="inlineStr">
        <is>
          <t>Zenodo 13692134</t>
        </is>
      </c>
      <c r="I52" t="inlineStr">
        <is>
          <t>Mar 2026</t>
        </is>
      </c>
      <c r="J52" t="inlineStr">
        <is>
          <t>CONFIRMED</t>
        </is>
      </c>
    </row>
    <row r="53">
      <c r="A53" s="5" t="inlineStr">
        <is>
          <t>P2-22</t>
        </is>
      </c>
      <c r="B53" t="inlineStr">
        <is>
          <t>Linear model intercept: α vs DTC order</t>
        </is>
      </c>
      <c r="C53" t="inlineStr">
        <is>
          <t>0.37</t>
        </is>
      </c>
      <c r="D53" t="inlineStr">
        <is>
          <t>—</t>
        </is>
      </c>
      <c r="E53" t="inlineStr">
        <is>
          <t>Paper 2</t>
        </is>
      </c>
      <c r="F53" t="inlineStr">
        <is>
          <t>6.4</t>
        </is>
      </c>
      <c r="G53" t="inlineStr">
        <is>
          <t>disorder_sweep.py</t>
        </is>
      </c>
      <c r="H53" t="inlineStr">
        <is>
          <t>Zenodo 13692134</t>
        </is>
      </c>
      <c r="I53" t="inlineStr">
        <is>
          <t>Mar 2026</t>
        </is>
      </c>
      <c r="J53" t="inlineStr">
        <is>
          <t>CONFIRMED</t>
        </is>
      </c>
    </row>
    <row r="54">
      <c r="A54" s="4" t="inlineStr">
        <is>
          <t>P2-23</t>
        </is>
      </c>
      <c r="B54" t="inlineStr">
        <is>
          <t>Linear model R² (α vs DTC order)</t>
        </is>
      </c>
      <c r="C54" t="inlineStr">
        <is>
          <t>0.84</t>
        </is>
      </c>
      <c r="D54" t="inlineStr">
        <is>
          <t>—</t>
        </is>
      </c>
      <c r="E54" t="inlineStr">
        <is>
          <t>Paper 2</t>
        </is>
      </c>
      <c r="F54" t="inlineStr">
        <is>
          <t>6.4</t>
        </is>
      </c>
      <c r="G54" t="inlineStr">
        <is>
          <t>disorder_sweep.py</t>
        </is>
      </c>
      <c r="H54" t="inlineStr">
        <is>
          <t>Zenodo 13692134</t>
        </is>
      </c>
      <c r="I54" t="inlineStr">
        <is>
          <t>Mar 2026</t>
        </is>
      </c>
      <c r="J54" t="inlineStr">
        <is>
          <t>CONFIRMED</t>
        </is>
      </c>
    </row>
    <row r="55"/>
    <row r="56"/>
    <row r="57">
      <c r="A57" s="6" t="inlineStr">
        <is>
          <t>GEOMETRIC FOUNDATIONS — 24-CELL INVESTIGATION (Mar 2026)</t>
        </is>
      </c>
    </row>
    <row r="58"/>
    <row r="59">
      <c r="A59" s="7" t="inlineStr">
        <is>
          <t>GF-01</t>
        </is>
      </c>
      <c r="B59" t="inlineStr">
        <is>
          <t>24-cell spectral gap/bandwidth (graph eigenvalues)</t>
        </is>
      </c>
      <c r="C59">
        <f> 1/3 (exact)</f>
        <v/>
      </c>
      <c r="D59" t="inlineStr">
        <is>
          <t>0 — integer eigenvalues</t>
        </is>
      </c>
      <c r="E59" t="inlineStr">
        <is>
          <t>Both</t>
        </is>
      </c>
      <c r="F59" t="inlineStr">
        <is>
          <t>Derivation</t>
        </is>
      </c>
      <c r="G59" t="inlineStr">
        <is>
          <t>tesseract_zero_point_investigation.py</t>
        </is>
      </c>
      <c r="H59" t="inlineStr">
        <is>
          <t>Synthetic</t>
        </is>
      </c>
      <c r="I59" t="inlineStr">
        <is>
          <t>Mar 2026</t>
        </is>
      </c>
      <c r="J59" t="inlineStr">
        <is>
          <t>CONFIRMED</t>
        </is>
      </c>
    </row>
    <row r="60">
      <c r="A60" s="7" t="inlineStr">
        <is>
          <t>GF-02</t>
        </is>
      </c>
      <c r="B60" t="inlineStr">
        <is>
          <t>600-cell spectral gap/bandwidth (falsification test)</t>
        </is>
      </c>
      <c r="C60" t="inlineStr">
        <is>
          <t>0.145898</t>
        </is>
      </c>
      <c r="D60" t="inlineStr">
        <is>
          <t>—</t>
        </is>
      </c>
      <c r="E60" t="inlineStr">
        <is>
          <t>Both</t>
        </is>
      </c>
      <c r="F60" t="inlineStr">
        <is>
          <t>Derivation</t>
        </is>
      </c>
      <c r="G60" t="inlineStr">
        <is>
          <t>tesseract_zero_point_investigation.py</t>
        </is>
      </c>
      <c r="H60" t="inlineStr">
        <is>
          <t>Synthetic</t>
        </is>
      </c>
      <c r="I60" t="inlineStr">
        <is>
          <t>Mar 2026</t>
        </is>
      </c>
      <c r="J60" t="inlineStr">
        <is>
          <t>CONFIRMED</t>
        </is>
      </c>
    </row>
    <row r="61">
      <c r="A61" s="7" t="inlineStr">
        <is>
          <t>GF-03</t>
        </is>
      </c>
      <c r="B61" t="inlineStr">
        <is>
          <t>5-cell (simplex, self-dual) spectral gap/bandwidth</t>
        </is>
      </c>
      <c r="C61" t="inlineStr">
        <is>
          <t>1.000000</t>
        </is>
      </c>
      <c r="D61" t="inlineStr">
        <is>
          <t>—</t>
        </is>
      </c>
      <c r="E61" t="inlineStr">
        <is>
          <t>Both</t>
        </is>
      </c>
      <c r="F61" t="inlineStr">
        <is>
          <t>Derivation</t>
        </is>
      </c>
      <c r="G61" t="inlineStr">
        <is>
          <t>tesseract_zero_point_investigation.py</t>
        </is>
      </c>
      <c r="H61" t="inlineStr">
        <is>
          <t>Synthetic</t>
        </is>
      </c>
      <c r="I61" t="inlineStr">
        <is>
          <t>Mar 2026</t>
        </is>
      </c>
      <c r="J61" t="inlineStr">
        <is>
          <t>CONFIRMED</t>
        </is>
      </c>
    </row>
    <row r="62">
      <c r="A62" s="7" t="inlineStr">
        <is>
          <t>GF-04</t>
        </is>
      </c>
      <c r="B62" t="inlineStr">
        <is>
          <t>Tesseract spectral gap/bandwidth</t>
        </is>
      </c>
      <c r="C62">
        <f> 1/4 (exact)</f>
        <v/>
      </c>
      <c r="D62" t="inlineStr">
        <is>
          <t>0 — integer eigenvalues</t>
        </is>
      </c>
      <c r="E62" t="inlineStr">
        <is>
          <t>Both</t>
        </is>
      </c>
      <c r="F62" t="inlineStr">
        <is>
          <t>Derivation</t>
        </is>
      </c>
      <c r="G62" t="inlineStr">
        <is>
          <t>tesseract_zero_point_investigation.py</t>
        </is>
      </c>
      <c r="H62" t="inlineStr">
        <is>
          <t>Synthetic</t>
        </is>
      </c>
      <c r="I62" t="inlineStr">
        <is>
          <t>Mar 2026</t>
        </is>
      </c>
      <c r="J62" t="inlineStr">
        <is>
          <t>CONFIRMED</t>
        </is>
      </c>
    </row>
    <row r="63">
      <c r="A63" s="7" t="inlineStr">
        <is>
          <t>GF-05</t>
        </is>
      </c>
      <c r="B63" t="inlineStr">
        <is>
          <t>ONLY regular 4-polytope with gap/bw = 1/3</t>
        </is>
      </c>
      <c r="C63" t="inlineStr">
        <is>
          <t>24-cell (self-dual)</t>
        </is>
      </c>
      <c r="D63" t="inlineStr">
        <is>
          <t>—</t>
        </is>
      </c>
      <c r="E63" t="inlineStr">
        <is>
          <t>Both</t>
        </is>
      </c>
      <c r="F63" t="inlineStr">
        <is>
          <t>Derivation</t>
        </is>
      </c>
      <c r="G63" t="inlineStr">
        <is>
          <t>tesseract_zero_point_investigation.py</t>
        </is>
      </c>
      <c r="H63" t="inlineStr">
        <is>
          <t>Synthetic</t>
        </is>
      </c>
      <c r="I63" t="inlineStr">
        <is>
          <t>Mar 2026</t>
        </is>
      </c>
      <c r="J63" t="inlineStr">
        <is>
          <t>CONFIRMED</t>
        </is>
      </c>
    </row>
    <row r="64">
      <c r="A64" s="7" t="inlineStr">
        <is>
          <t>GF-06</t>
        </is>
      </c>
      <c r="B64" t="inlineStr">
        <is>
          <t>Dual ouroboros Berry phase (12 fwd + 12 inv steps)</t>
        </is>
      </c>
      <c r="C64" t="inlineStr">
        <is>
          <t>0.000000 rad = 0.000000π</t>
        </is>
      </c>
      <c r="D64" t="inlineStr">
        <is>
          <t>&lt; 1e-15</t>
        </is>
      </c>
      <c r="E64" t="inlineStr">
        <is>
          <t>Both</t>
        </is>
      </c>
      <c r="F64" t="inlineStr">
        <is>
          <t>Derivation</t>
        </is>
      </c>
      <c r="G64" t="inlineStr">
        <is>
          <t>tesseract_zero_point_investigation.py</t>
        </is>
      </c>
      <c r="H64" t="inlineStr">
        <is>
          <t>Synthetic</t>
        </is>
      </c>
      <c r="I64" t="inlineStr">
        <is>
          <t>Mar 2026</t>
        </is>
      </c>
      <c r="J64" t="inlineStr">
        <is>
          <t>CONFIRMED</t>
        </is>
      </c>
    </row>
    <row r="65">
      <c r="A65" s="7" t="inlineStr">
        <is>
          <t>GF-07</t>
        </is>
      </c>
      <c r="B65" t="inlineStr">
        <is>
          <t>Single ouroboros cycle Berry phase (12 steps)</t>
        </is>
      </c>
      <c r="C65" t="inlineStr">
        <is>
          <t>−1.837238π</t>
        </is>
      </c>
      <c r="D65" t="inlineStr">
        <is>
          <t>—</t>
        </is>
      </c>
      <c r="E65" t="inlineStr">
        <is>
          <t>Both</t>
        </is>
      </c>
      <c r="F65" t="inlineStr">
        <is>
          <t>Derivation</t>
        </is>
      </c>
      <c r="G65" t="inlineStr">
        <is>
          <t>tesseract_zero_point_investigation.py</t>
        </is>
      </c>
      <c r="H65" t="inlineStr">
        <is>
          <t>Synthetic</t>
        </is>
      </c>
      <c r="I65" t="inlineStr">
        <is>
          <t>Mar 2026</t>
        </is>
      </c>
      <c r="J65" t="inlineStr">
        <is>
          <t>CONFIRMED</t>
        </is>
      </c>
    </row>
    <row r="66">
      <c r="A66" s="7" t="inlineStr">
        <is>
          <t>GF-08</t>
        </is>
      </c>
      <c r="B66" t="inlineStr">
        <is>
          <t>State closure after dual ouroboros: |u_end − u_0|</t>
        </is>
      </c>
      <c r="C66" t="inlineStr">
        <is>
          <t>1.24 × 10⁻¹⁶</t>
        </is>
      </c>
      <c r="D66" t="inlineStr">
        <is>
          <t>machine precision</t>
        </is>
      </c>
      <c r="E66" t="inlineStr">
        <is>
          <t>Both</t>
        </is>
      </c>
      <c r="F66" t="inlineStr">
        <is>
          <t>Derivation</t>
        </is>
      </c>
      <c r="G66" t="inlineStr">
        <is>
          <t>tesseract_zero_point_investigation.py</t>
        </is>
      </c>
      <c r="H66" t="inlineStr">
        <is>
          <t>Synthetic</t>
        </is>
      </c>
      <c r="I66" t="inlineStr">
        <is>
          <t>Mar 2026</t>
        </is>
      </c>
      <c r="J66" t="inlineStr">
        <is>
          <t>CONFIRMED</t>
        </is>
      </c>
    </row>
    <row r="67">
      <c r="A67" s="7" t="inlineStr">
        <is>
          <t>GF-09</t>
        </is>
      </c>
      <c r="B67" t="inlineStr">
        <is>
          <t>24 = 2×12 — structural necessity via McKay correspondence</t>
        </is>
      </c>
      <c r="C67" t="inlineStr">
        <is>
          <t>D4 roots = 24 = 2×h(E6)</t>
        </is>
      </c>
      <c r="D67" t="inlineStr">
        <is>
          <t>—</t>
        </is>
      </c>
      <c r="E67" t="inlineStr">
        <is>
          <t>Both</t>
        </is>
      </c>
      <c r="F67" t="inlineStr">
        <is>
          <t>Derivation</t>
        </is>
      </c>
      <c r="G67" t="inlineStr">
        <is>
          <t>tesseract_zero_point_investigation.py</t>
        </is>
      </c>
      <c r="H67" t="inlineStr">
        <is>
          <t>Synthetic</t>
        </is>
      </c>
      <c r="I67" t="inlineStr">
        <is>
          <t>Mar 2026</t>
        </is>
      </c>
      <c r="J67" t="inlineStr">
        <is>
          <t>CONFIRMED</t>
        </is>
      </c>
    </row>
    <row r="68">
      <c r="A68" s="7" t="inlineStr">
        <is>
          <t>GF-10</t>
        </is>
      </c>
      <c r="B68" t="inlineStr">
        <is>
          <t>Binary tetrahedral group |2T| = 24-cell vertex count</t>
        </is>
      </c>
      <c r="C68" t="inlineStr">
        <is>
          <t>24 = |2T|</t>
        </is>
      </c>
      <c r="D68" t="inlineStr">
        <is>
          <t>—</t>
        </is>
      </c>
      <c r="E68" t="inlineStr">
        <is>
          <t>Both</t>
        </is>
      </c>
      <c r="F68" t="inlineStr">
        <is>
          <t>Derivation</t>
        </is>
      </c>
      <c r="G68" t="inlineStr">
        <is>
          <t>tesseract_zero_point_investigation.py</t>
        </is>
      </c>
      <c r="H68" t="inlineStr">
        <is>
          <t>Synthetic</t>
        </is>
      </c>
      <c r="I68" t="inlineStr">
        <is>
          <t>Mar 2026</t>
        </is>
      </c>
      <c r="J68" t="inlineStr">
        <is>
          <t>CONFIRMED</t>
        </is>
      </c>
    </row>
    <row r="69">
      <c r="A69" s="7" t="inlineStr">
        <is>
          <t>GF-11</t>
        </is>
      </c>
      <c r="B69" t="inlineStr">
        <is>
          <t>Spectral enhancement ratio (self-dual closure / base)</t>
        </is>
      </c>
      <c r="C69" t="inlineStr">
        <is>
          <t>(1/3)/(1/4) = 4/3</t>
        </is>
      </c>
      <c r="D69" t="inlineStr">
        <is>
          <t>exact</t>
        </is>
      </c>
      <c r="E69" t="inlineStr">
        <is>
          <t>Both</t>
        </is>
      </c>
      <c r="F69" t="inlineStr">
        <is>
          <t>Derivation</t>
        </is>
      </c>
      <c r="G69" t="inlineStr">
        <is>
          <t>tesseract_zero_point_investigation.py</t>
        </is>
      </c>
      <c r="H69" t="inlineStr">
        <is>
          <t>Synthetic</t>
        </is>
      </c>
      <c r="I69" t="inlineStr">
        <is>
          <t>Mar 2026</t>
        </is>
      </c>
      <c r="J69" t="inlineStr">
        <is>
          <t>CONFIRMED</t>
        </is>
      </c>
    </row>
    <row r="70">
      <c r="A70" s="7" t="inlineStr">
        <is>
          <t>GF-12</t>
        </is>
      </c>
      <c r="B70" t="inlineStr">
        <is>
          <t>Independent exact derivations of 1/3</t>
        </is>
      </c>
      <c r="C70" t="inlineStr">
        <is>
          <t>≥ 3 (graph theory, dim counting, Z3 group theory)</t>
        </is>
      </c>
      <c r="D70" t="inlineStr">
        <is>
          <t>—</t>
        </is>
      </c>
      <c r="E70" t="inlineStr">
        <is>
          <t>Both</t>
        </is>
      </c>
      <c r="F70" t="inlineStr">
        <is>
          <t>Derivation</t>
        </is>
      </c>
      <c r="G70" t="inlineStr">
        <is>
          <t>tesseract_zero_point_investigation.py</t>
        </is>
      </c>
      <c r="H70" t="inlineStr">
        <is>
          <t>Synthetic</t>
        </is>
      </c>
      <c r="I70" t="inlineStr">
        <is>
          <t>Mar 2026</t>
        </is>
      </c>
      <c r="J70" t="inlineStr">
        <is>
          <t>CONFIRMED</t>
        </is>
      </c>
    </row>
    <row r="71">
      <c r="A71" s="7" t="inlineStr">
        <is>
          <t>GF-13</t>
        </is>
      </c>
      <c r="B71" t="inlineStr">
        <is>
          <t>Independent exact derivations of 4/3</t>
        </is>
      </c>
      <c r="C71" t="inlineStr">
        <is>
          <t>≥ 3 (empirical, spectral enhancement, dimensional)</t>
        </is>
      </c>
      <c r="D71" t="inlineStr">
        <is>
          <t>—</t>
        </is>
      </c>
      <c r="E71" t="inlineStr">
        <is>
          <t>Both</t>
        </is>
      </c>
      <c r="F71" t="inlineStr">
        <is>
          <t>Derivation</t>
        </is>
      </c>
      <c r="G71" t="inlineStr">
        <is>
          <t>tesseract_zero_point_investigation.py</t>
        </is>
      </c>
      <c r="H71" t="inlineStr">
        <is>
          <t>Synthetic</t>
        </is>
      </c>
      <c r="I71" t="inlineStr">
        <is>
          <t>Mar 2026</t>
        </is>
      </c>
      <c r="J71" t="inlineStr">
        <is>
          <t>CONFIRMED</t>
        </is>
      </c>
    </row>
    <row r="72">
      <c r="A72" s="7" t="inlineStr">
        <is>
          <t>GF-14</t>
        </is>
      </c>
      <c r="B72" t="inlineStr">
        <is>
          <t>24-cell quantum walk |C|_mean (internal dynamics only)</t>
        </is>
      </c>
      <c r="C72" t="inlineStr">
        <is>
          <t>0.298 ≈ 1/3</t>
        </is>
      </c>
      <c r="D72" t="inlineStr">
        <is>
          <t>C_std = 0.099</t>
        </is>
      </c>
      <c r="E72" t="inlineStr">
        <is>
          <t>Both</t>
        </is>
      </c>
      <c r="F72" t="inlineStr">
        <is>
          <t>Simulation</t>
        </is>
      </c>
      <c r="G72" t="inlineStr">
        <is>
          <t>tesseract_zero_point_investigation.py</t>
        </is>
      </c>
      <c r="H72" t="inlineStr">
        <is>
          <t>Synthetic</t>
        </is>
      </c>
      <c r="I72" t="inlineStr">
        <is>
          <t>Mar 2026</t>
        </is>
      </c>
      <c r="J72" t="inlineStr">
        <is>
          <t>CONFIRMED</t>
        </is>
      </c>
    </row>
    <row r="73">
      <c r="A73" s="7" t="inlineStr">
        <is>
          <t>GF-15</t>
        </is>
      </c>
      <c r="B73" t="inlineStr">
        <is>
          <t>24-cell quantum walk: fraction |C| &gt; 1/3</t>
        </is>
      </c>
      <c r="C73" t="inlineStr">
        <is>
          <t>0.308</t>
        </is>
      </c>
      <c r="D73" t="inlineStr">
        <is>
          <t>—</t>
        </is>
      </c>
      <c r="E73" t="inlineStr">
        <is>
          <t>Both</t>
        </is>
      </c>
      <c r="F73" t="inlineStr">
        <is>
          <t>Simulation</t>
        </is>
      </c>
      <c r="G73" t="inlineStr">
        <is>
          <t>tesseract_zero_point_investigation.py</t>
        </is>
      </c>
      <c r="H73" t="inlineStr">
        <is>
          <t>Synthetic</t>
        </is>
      </c>
      <c r="I73" t="inlineStr">
        <is>
          <t>Mar 2026</t>
        </is>
      </c>
      <c r="J73" t="inlineStr">
        <is>
          <t>CONFIRMED</t>
        </is>
      </c>
    </row>
    <row r="74">
      <c r="A74" s="7" t="inlineStr">
        <is>
          <t>GF-16</t>
        </is>
      </c>
      <c r="B74" t="inlineStr">
        <is>
          <t>Forcing chain free parameters: {binary+threshold} → {1/3, 4/3}</t>
        </is>
      </c>
      <c r="C74" t="inlineStr">
        <is>
          <t>0 free parameters</t>
        </is>
      </c>
      <c r="D74" t="inlineStr">
        <is>
          <t>—</t>
        </is>
      </c>
      <c r="E74" t="inlineStr">
        <is>
          <t>Both</t>
        </is>
      </c>
      <c r="F74" t="inlineStr">
        <is>
          <t>Derivation</t>
        </is>
      </c>
      <c r="G74" t="inlineStr">
        <is>
          <t>tesseract_zero_point_investigation.py</t>
        </is>
      </c>
      <c r="H74" t="inlineStr">
        <is>
          <t>Synthetic</t>
        </is>
      </c>
      <c r="I74" t="inlineStr">
        <is>
          <t>Mar 2026</t>
        </is>
      </c>
      <c r="J74" t="inlineStr">
        <is>
          <t>CONFIRMED</t>
        </is>
      </c>
    </row>
    <row r="75">
      <c r="A75" s="7" t="inlineStr">
        <is>
          <t>GF-17</t>
        </is>
      </c>
      <c r="B75" t="inlineStr">
        <is>
          <t>Forcing chain free parameters: {1/3, 4/3} → ~137</t>
        </is>
      </c>
      <c r="C75" t="inlineStr">
        <is>
          <t>~1 (E6 embedding partially forced via D4 sub-system)</t>
        </is>
      </c>
      <c r="D75" t="inlineStr">
        <is>
          <t>—</t>
        </is>
      </c>
      <c r="E75" t="inlineStr">
        <is>
          <t>Both</t>
        </is>
      </c>
      <c r="F75" t="inlineStr">
        <is>
          <t>Derivation</t>
        </is>
      </c>
      <c r="G75" t="inlineStr">
        <is>
          <t>tesseract_zero_point_investigation.py</t>
        </is>
      </c>
      <c r="H75" t="inlineStr">
        <is>
          <t>Synthetic</t>
        </is>
      </c>
      <c r="I75" t="inlineStr">
        <is>
          <t>Mar 2026</t>
        </is>
      </c>
      <c r="J75" t="inlineStr">
        <is>
          <t>OPEN</t>
        </is>
      </c>
    </row>
    <row r="76">
      <c r="A76" s="8" t="inlineStr">
        <is>
          <t>MED-P1-15</t>
        </is>
      </c>
      <c r="B76" t="inlineStr">
        <is>
          <t>ISY individual distribution: bimodal?</t>
        </is>
      </c>
      <c r="C76" t="inlineStr">
        <is>
          <t>NO — unimodal (dip test p=0.77, BC=0.48)</t>
        </is>
      </c>
      <c r="D76" t="inlineStr">
        <is>
          <t>—</t>
        </is>
      </c>
      <c r="E76" t="inlineStr">
        <is>
          <t>Paper 1</t>
        </is>
      </c>
      <c r="F76" t="inlineStr">
        <is>
          <t>Meditation</t>
        </is>
      </c>
      <c r="G76" t="inlineStr">
        <is>
          <t>phase1_deep_analysis.py</t>
        </is>
      </c>
      <c r="H76" t="inlineStr">
        <is>
          <t>Zenodo 57911</t>
        </is>
      </c>
      <c r="I76" t="inlineStr">
        <is>
          <t>Mar 2026</t>
        </is>
      </c>
      <c r="J76" t="inlineStr">
        <is>
          <t>CONFIRMED</t>
        </is>
      </c>
    </row>
    <row r="77">
      <c r="A77" s="8" t="inlineStr">
        <is>
          <t>MED-P1-16</t>
        </is>
      </c>
      <c r="B77" t="inlineStr">
        <is>
          <t>ISY subject range (median alpha/gamma ratio)</t>
        </is>
      </c>
      <c r="C77" t="inlineStr">
        <is>
          <t>1.00 – 1.93 (wide, continuous)</t>
        </is>
      </c>
      <c r="D77" t="inlineStr">
        <is>
          <t>—</t>
        </is>
      </c>
      <c r="E77" t="inlineStr">
        <is>
          <t>Paper 1</t>
        </is>
      </c>
      <c r="F77" t="inlineStr">
        <is>
          <t>Meditation</t>
        </is>
      </c>
      <c r="G77" t="inlineStr">
        <is>
          <t>phase1_deep_analysis.py</t>
        </is>
      </c>
      <c r="H77" t="inlineStr">
        <is>
          <t>Zenodo 57911</t>
        </is>
      </c>
      <c r="I77" t="inlineStr">
        <is>
          <t>Mar 2026</t>
        </is>
      </c>
      <c r="J77" t="inlineStr">
        <is>
          <t>CONFIRMED</t>
        </is>
      </c>
    </row>
    <row r="78">
      <c r="A78" s="8" t="inlineStr">
        <is>
          <t>MED-P1-17</t>
        </is>
      </c>
      <c r="B78" t="inlineStr">
        <is>
          <t>KDE valley in ISY distribution</t>
        </is>
      </c>
      <c r="C78" t="inlineStr">
        <is>
          <t>1.352 (|v − 4/3| = 0.019)</t>
        </is>
      </c>
      <c r="D78" t="inlineStr">
        <is>
          <t>—</t>
        </is>
      </c>
      <c r="E78" t="inlineStr">
        <is>
          <t>Paper 1</t>
        </is>
      </c>
      <c r="F78" t="inlineStr">
        <is>
          <t>Meditation</t>
        </is>
      </c>
      <c r="G78" t="inlineStr">
        <is>
          <t>phase1_deep_analysis.py</t>
        </is>
      </c>
      <c r="H78" t="inlineStr">
        <is>
          <t>Zenodo 57911</t>
        </is>
      </c>
      <c r="I78" t="inlineStr">
        <is>
          <t>Mar 2026</t>
        </is>
      </c>
      <c r="J78" t="inlineStr">
        <is>
          <t>CONFIRMED</t>
        </is>
      </c>
    </row>
    <row r="79">
      <c r="A79" s="8" t="inlineStr">
        <is>
          <t>MED-P1-18</t>
        </is>
      </c>
      <c r="B79" t="inlineStr">
        <is>
          <t>ISY subjects (whole-scalp median) within 0.10 of 4/3</t>
        </is>
      </c>
      <c r="C79" t="inlineStr">
        <is>
          <t>2/16</t>
        </is>
      </c>
      <c r="D79" t="inlineStr">
        <is>
          <t>—</t>
        </is>
      </c>
      <c r="E79" t="inlineStr">
        <is>
          <t>Paper 1</t>
        </is>
      </c>
      <c r="F79" t="inlineStr">
        <is>
          <t>Meditation</t>
        </is>
      </c>
      <c r="G79" t="inlineStr">
        <is>
          <t>phase1_deep_analysis.py</t>
        </is>
      </c>
      <c r="H79" t="inlineStr">
        <is>
          <t>Zenodo 57911</t>
        </is>
      </c>
      <c r="I79" t="inlineStr">
        <is>
          <t>Mar 2026</t>
        </is>
      </c>
      <c r="J79" t="inlineStr">
        <is>
          <t>CONFIRMED</t>
        </is>
      </c>
    </row>
    <row r="80">
      <c r="A80" s="8" t="inlineStr">
        <is>
          <t>MED-P1-19</t>
        </is>
      </c>
      <c r="B80" t="inlineStr">
        <is>
          <t>HYT subjects (whole-scalp median) within 0.10 of 4/3</t>
        </is>
      </c>
      <c r="C80" t="inlineStr">
        <is>
          <t>3/16</t>
        </is>
      </c>
      <c r="D80" t="inlineStr">
        <is>
          <t>—</t>
        </is>
      </c>
      <c r="E80" t="inlineStr">
        <is>
          <t>Paper 1</t>
        </is>
      </c>
      <c r="F80" t="inlineStr">
        <is>
          <t>Meditation</t>
        </is>
      </c>
      <c r="G80" t="inlineStr">
        <is>
          <t>phase1_deep_analysis.py</t>
        </is>
      </c>
      <c r="H80" t="inlineStr">
        <is>
          <t>Zenodo 57911</t>
        </is>
      </c>
      <c r="I80" t="inlineStr">
        <is>
          <t>Mar 2026</t>
        </is>
      </c>
      <c r="J80" t="inlineStr">
        <is>
          <t>CONFIRMED</t>
        </is>
      </c>
    </row>
    <row r="81">
      <c r="A81" s="8" t="inlineStr">
        <is>
          <t>MED-P1-20</t>
        </is>
      </c>
      <c r="B81" t="inlineStr">
        <is>
          <t>ISY P9 channel-group mean ratio</t>
        </is>
      </c>
      <c r="C81" t="inlineStr">
        <is>
          <t>1.3341 (|r−4/3| = 0.0007)</t>
        </is>
      </c>
      <c r="D81" t="inlineStr">
        <is>
          <t>—</t>
        </is>
      </c>
      <c r="E81" t="inlineStr">
        <is>
          <t>Paper 1</t>
        </is>
      </c>
      <c r="F81" t="inlineStr">
        <is>
          <t>Meditation</t>
        </is>
      </c>
      <c r="G81" t="inlineStr">
        <is>
          <t>phase1_deep_analysis.py</t>
        </is>
      </c>
      <c r="H81" t="inlineStr">
        <is>
          <t>Zenodo 57911</t>
        </is>
      </c>
      <c r="I81" t="inlineStr">
        <is>
          <t>Mar 2026</t>
        </is>
      </c>
      <c r="J81" t="inlineStr">
        <is>
          <t>CONFIRMED</t>
        </is>
      </c>
    </row>
    <row r="82">
      <c r="A82" s="8" t="inlineStr">
        <is>
          <t>MED-P1-21</t>
        </is>
      </c>
      <c r="B82" t="inlineStr">
        <is>
          <t>ISY P10 channel-group mean ratio</t>
        </is>
      </c>
      <c r="C82" t="inlineStr">
        <is>
          <t>1.3310 (|r−4/3| = 0.0023)</t>
        </is>
      </c>
      <c r="D82" t="inlineStr">
        <is>
          <t>—</t>
        </is>
      </c>
      <c r="E82" t="inlineStr">
        <is>
          <t>Paper 1</t>
        </is>
      </c>
      <c r="F82" t="inlineStr">
        <is>
          <t>Meditation</t>
        </is>
      </c>
      <c r="G82" t="inlineStr">
        <is>
          <t>phase1_deep_analysis.py</t>
        </is>
      </c>
      <c r="H82" t="inlineStr">
        <is>
          <t>Zenodo 57911</t>
        </is>
      </c>
      <c r="I82" t="inlineStr">
        <is>
          <t>Mar 2026</t>
        </is>
      </c>
      <c r="J82" t="inlineStr">
        <is>
          <t>CONFIRMED</t>
        </is>
      </c>
    </row>
    <row r="83">
      <c r="A83" s="8" t="inlineStr">
        <is>
          <t>MED-P1-22</t>
        </is>
      </c>
      <c r="B83" t="inlineStr">
        <is>
          <t>ISY P9/P10 percentile within ISY group</t>
        </is>
      </c>
      <c r="C83" t="inlineStr">
        <is>
          <t>37.5th percentile (not outliers — group tendency)</t>
        </is>
      </c>
      <c r="D83" t="inlineStr">
        <is>
          <t>—</t>
        </is>
      </c>
      <c r="E83" t="inlineStr">
        <is>
          <t>Paper 1</t>
        </is>
      </c>
      <c r="F83" t="inlineStr">
        <is>
          <t>Meditation</t>
        </is>
      </c>
      <c r="G83" t="inlineStr">
        <is>
          <t>phase1_deep_analysis.py</t>
        </is>
      </c>
      <c r="H83" t="inlineStr">
        <is>
          <t>Zenodo 57911</t>
        </is>
      </c>
      <c r="I83" t="inlineStr">
        <is>
          <t>Mar 2026</t>
        </is>
      </c>
      <c r="J83" t="inlineStr">
        <is>
          <t>CONFIRMED</t>
        </is>
      </c>
    </row>
    <row r="84">
      <c r="A84" s="8" t="inlineStr">
        <is>
          <t>MED-P1-23</t>
        </is>
      </c>
      <c r="B84" t="inlineStr">
        <is>
          <t>Z3 symmetry score (H3/H2) — CTR</t>
        </is>
      </c>
      <c r="C84" t="inlineStr">
        <is>
          <t>0.305 (H2=0.0308, H3=0.0117)</t>
        </is>
      </c>
      <c r="D84" t="inlineStr">
        <is>
          <t>—</t>
        </is>
      </c>
      <c r="E84" t="inlineStr">
        <is>
          <t>Paper 1</t>
        </is>
      </c>
      <c r="F84" t="inlineStr">
        <is>
          <t>Meditation</t>
        </is>
      </c>
      <c r="G84" t="inlineStr">
        <is>
          <t>phase1_deep_analysis.py</t>
        </is>
      </c>
      <c r="H84" t="inlineStr">
        <is>
          <t>Zenodo 57911</t>
        </is>
      </c>
      <c r="I84" t="inlineStr">
        <is>
          <t>Mar 2026</t>
        </is>
      </c>
      <c r="J84" t="inlineStr">
        <is>
          <t>CONFIRMED</t>
        </is>
      </c>
    </row>
    <row r="85">
      <c r="A85" s="8" t="inlineStr">
        <is>
          <t>MED-P1-24</t>
        </is>
      </c>
      <c r="B85" t="inlineStr">
        <is>
          <t>Z3 symmetry score (H3/H2) — ISY</t>
        </is>
      </c>
      <c r="C85" t="inlineStr">
        <is>
          <t>0.467 (H2=0.0189, H3=0.0051)</t>
        </is>
      </c>
      <c r="D85" t="inlineStr">
        <is>
          <t>—</t>
        </is>
      </c>
      <c r="E85" t="inlineStr">
        <is>
          <t>Paper 1</t>
        </is>
      </c>
      <c r="F85" t="inlineStr">
        <is>
          <t>Meditation</t>
        </is>
      </c>
      <c r="G85" t="inlineStr">
        <is>
          <t>phase1_deep_analysis.py</t>
        </is>
      </c>
      <c r="H85" t="inlineStr">
        <is>
          <t>Zenodo 57911</t>
        </is>
      </c>
      <c r="I85" t="inlineStr">
        <is>
          <t>Mar 2026</t>
        </is>
      </c>
      <c r="J85" t="inlineStr">
        <is>
          <t>CONFIRMED</t>
        </is>
      </c>
    </row>
    <row r="86">
      <c r="A86" s="8" t="inlineStr">
        <is>
          <t>MED-P1-25</t>
        </is>
      </c>
      <c r="B86" t="inlineStr">
        <is>
          <t>Z3 symmetry score (H3/H2) — VIP</t>
        </is>
      </c>
      <c r="C86" t="inlineStr">
        <is>
          <t>0.340 (H2=0.0213, H3=0.0050)</t>
        </is>
      </c>
      <c r="D86" t="inlineStr">
        <is>
          <t>—</t>
        </is>
      </c>
      <c r="E86" t="inlineStr">
        <is>
          <t>Paper 1</t>
        </is>
      </c>
      <c r="F86" t="inlineStr">
        <is>
          <t>Meditation</t>
        </is>
      </c>
      <c r="G86" t="inlineStr">
        <is>
          <t>phase1_deep_analysis.py</t>
        </is>
      </c>
      <c r="H86" t="inlineStr">
        <is>
          <t>Zenodo 57911</t>
        </is>
      </c>
      <c r="I86" t="inlineStr">
        <is>
          <t>Mar 2026</t>
        </is>
      </c>
      <c r="J86" t="inlineStr">
        <is>
          <t>CONFIRMED</t>
        </is>
      </c>
    </row>
    <row r="87">
      <c r="A87" s="8" t="inlineStr">
        <is>
          <t>MED-P1-26</t>
        </is>
      </c>
      <c r="B87" t="inlineStr">
        <is>
          <t>Z3 symmetry score (H3/H2) — HYT</t>
        </is>
      </c>
      <c r="C87" t="inlineStr">
        <is>
          <t>0.694 (H2=0.0125, H3=0.0107)</t>
        </is>
      </c>
      <c r="D87" t="inlineStr">
        <is>
          <t>—</t>
        </is>
      </c>
      <c r="E87" t="inlineStr">
        <is>
          <t>Paper 1</t>
        </is>
      </c>
      <c r="F87" t="inlineStr">
        <is>
          <t>Meditation</t>
        </is>
      </c>
      <c r="G87" t="inlineStr">
        <is>
          <t>phase1_deep_analysis.py</t>
        </is>
      </c>
      <c r="H87" t="inlineStr">
        <is>
          <t>Zenodo 57911</t>
        </is>
      </c>
      <c r="I87" t="inlineStr">
        <is>
          <t>Mar 2026</t>
        </is>
      </c>
      <c r="J87" t="inlineStr">
        <is>
          <t>CONFIRMED</t>
        </is>
      </c>
    </row>
    <row r="88">
      <c r="A88" s="8" t="inlineStr">
        <is>
          <t>MED-P1-27</t>
        </is>
      </c>
      <c r="B88" t="inlineStr">
        <is>
          <t>HYT vs CTR Z3 score Mann-Whitney p</t>
        </is>
      </c>
      <c r="C88" t="inlineStr">
        <is>
          <t>p = 0.037 (significant)</t>
        </is>
      </c>
      <c r="D88" t="inlineStr">
        <is>
          <t>—</t>
        </is>
      </c>
      <c r="E88" t="inlineStr">
        <is>
          <t>Paper 1</t>
        </is>
      </c>
      <c r="F88" t="inlineStr">
        <is>
          <t>Meditation</t>
        </is>
      </c>
      <c r="G88" t="inlineStr">
        <is>
          <t>phase1_deep_analysis.py</t>
        </is>
      </c>
      <c r="H88" t="inlineStr">
        <is>
          <t>Zenodo 57911</t>
        </is>
      </c>
      <c r="I88" t="inlineStr">
        <is>
          <t>Mar 2026</t>
        </is>
      </c>
      <c r="J88" t="inlineStr">
        <is>
          <t>CONFIRMED</t>
        </is>
      </c>
    </row>
    <row r="89">
      <c r="A89" s="8" t="inlineStr">
        <is>
          <t>MED-P1-28</t>
        </is>
      </c>
      <c r="B89" t="inlineStr">
        <is>
          <t>HYT bilateral H2 collapse (CTR→HYT)</t>
        </is>
      </c>
      <c r="C89" t="inlineStr">
        <is>
          <t>0.0308 → 0.0125 (59% reduction)</t>
        </is>
      </c>
      <c r="D89" t="inlineStr">
        <is>
          <t>—</t>
        </is>
      </c>
      <c r="E89" t="inlineStr">
        <is>
          <t>Paper 1</t>
        </is>
      </c>
      <c r="F89" t="inlineStr">
        <is>
          <t>Meditation</t>
        </is>
      </c>
      <c r="G89" t="inlineStr">
        <is>
          <t>phase1_deep_analysis.py</t>
        </is>
      </c>
      <c r="H89" t="inlineStr">
        <is>
          <t>Zenodo 57911</t>
        </is>
      </c>
      <c r="I89" t="inlineStr">
        <is>
          <t>Mar 2026</t>
        </is>
      </c>
      <c r="J89" t="inlineStr">
        <is>
          <t>CONFIRMED</t>
        </is>
      </c>
    </row>
    <row r="90">
      <c r="A90" s="9" t="inlineStr">
        <is>
          <t>MED-P1-29</t>
        </is>
      </c>
      <c r="B90" t="inlineStr">
        <is>
          <t>HYT Z3 score &gt; 1 (Z3 exceeds bilateral)?</t>
        </is>
      </c>
      <c r="C90" t="inlineStr">
        <is>
          <t>NO — 0.694 &lt; 1. Prediction P_MED_4: PARTIAL</t>
        </is>
      </c>
      <c r="D90" t="inlineStr">
        <is>
          <t>—</t>
        </is>
      </c>
      <c r="E90" t="inlineStr">
        <is>
          <t>Paper 1</t>
        </is>
      </c>
      <c r="F90" t="inlineStr">
        <is>
          <t>Meditation</t>
        </is>
      </c>
      <c r="G90" t="inlineStr">
        <is>
          <t>phase1_deep_analysis.py</t>
        </is>
      </c>
      <c r="H90" t="inlineStr">
        <is>
          <t>Zenodo 57911</t>
        </is>
      </c>
      <c r="I90" t="inlineStr">
        <is>
          <t>Mar 2026</t>
        </is>
      </c>
      <c r="J90" t="inlineStr">
        <is>
          <t>PARTIAL</t>
        </is>
      </c>
    </row>
    <row r="91">
      <c r="A91" s="8" t="inlineStr">
        <is>
          <t>MED-P1-30</t>
        </is>
      </c>
      <c r="B91" t="inlineStr">
        <is>
          <t>VIP Z3 score — focused attention preserves bilateral</t>
        </is>
      </c>
      <c r="C91" t="inlineStr">
        <is>
          <t>0.340 (close to CTR 0.305, H2 higher than ISY)</t>
        </is>
      </c>
      <c r="D91" t="inlineStr">
        <is>
          <t>—</t>
        </is>
      </c>
      <c r="E91" t="inlineStr">
        <is>
          <t>Paper 1</t>
        </is>
      </c>
      <c r="F91" t="inlineStr">
        <is>
          <t>Meditation</t>
        </is>
      </c>
      <c r="G91" t="inlineStr">
        <is>
          <t>phase1_deep_analysis.py</t>
        </is>
      </c>
      <c r="H91" t="inlineStr">
        <is>
          <t>Zenodo 57911</t>
        </is>
      </c>
      <c r="I91" t="inlineStr">
        <is>
          <t>Mar 2026</t>
        </is>
      </c>
      <c r="J91" t="inlineStr">
        <is>
          <t>CONFIRMED</t>
        </is>
      </c>
    </row>
    <row r="92">
      <c r="A92" s="8" t="inlineStr">
        <is>
          <t>MED-P1-31</t>
        </is>
      </c>
      <c r="B92" t="inlineStr">
        <is>
          <t>Spatial autocorrelation (Moran's I) — HYT at-4/3 channels</t>
        </is>
      </c>
      <c r="C92" t="inlineStr">
        <is>
          <t>0.091 (p&lt;0.0001) — locally smooth, globally uniform</t>
        </is>
      </c>
      <c r="D92" t="inlineStr">
        <is>
          <t>—</t>
        </is>
      </c>
      <c r="E92" t="inlineStr">
        <is>
          <t>Paper 1</t>
        </is>
      </c>
      <c r="F92" t="inlineStr">
        <is>
          <t>Meditation</t>
        </is>
      </c>
      <c r="G92" t="inlineStr">
        <is>
          <t>phase1_deep_analysis.py</t>
        </is>
      </c>
      <c r="H92" t="inlineStr">
        <is>
          <t>Zenodo 57911</t>
        </is>
      </c>
      <c r="I92" t="inlineStr">
        <is>
          <t>Mar 2026</t>
        </is>
      </c>
      <c r="J92" t="inlineStr">
        <is>
          <t>CONFIRMED</t>
        </is>
      </c>
    </row>
    <row r="93">
      <c r="A93" s="8" t="inlineStr">
        <is>
          <t>MED-P1-32</t>
        </is>
      </c>
      <c r="B93" t="inlineStr">
        <is>
          <t>Sector chi-squared test — HYT at-4/3 channels</t>
        </is>
      </c>
      <c r="C93" t="inlineStr">
        <is>
          <t>p = 0.95 (no sector preference, 50–67% per sector)</t>
        </is>
      </c>
      <c r="D93" t="inlineStr">
        <is>
          <t>—</t>
        </is>
      </c>
      <c r="E93" t="inlineStr">
        <is>
          <t>Paper 1</t>
        </is>
      </c>
      <c r="F93" t="inlineStr">
        <is>
          <t>Meditation</t>
        </is>
      </c>
      <c r="G93" t="inlineStr">
        <is>
          <t>phase1_deep_analysis.py</t>
        </is>
      </c>
      <c r="H93" t="inlineStr">
        <is>
          <t>Zenodo 57911</t>
        </is>
      </c>
      <c r="I93" t="inlineStr">
        <is>
          <t>Mar 2026</t>
        </is>
      </c>
      <c r="J93" t="inlineStr">
        <is>
          <t>CONFIRMED</t>
        </is>
      </c>
    </row>
    <row r="94">
      <c r="A94" s="8" t="inlineStr">
        <is>
          <t>MED-P1-33</t>
        </is>
      </c>
      <c r="B94" t="inlineStr">
        <is>
          <t>Z3 sector range (mean ratio across 3 sectors) — HYT</t>
        </is>
      </c>
      <c r="C94" t="inlineStr">
        <is>
          <t>0.024 — essentially identical</t>
        </is>
      </c>
      <c r="D94" t="inlineStr">
        <is>
          <t>—</t>
        </is>
      </c>
      <c r="E94" t="inlineStr">
        <is>
          <t>Paper 1</t>
        </is>
      </c>
      <c r="F94" t="inlineStr">
        <is>
          <t>Meditation</t>
        </is>
      </c>
      <c r="G94" t="inlineStr">
        <is>
          <t>phase1_deep_analysis.py</t>
        </is>
      </c>
      <c r="H94" t="inlineStr">
        <is>
          <t>Zenodo 57911</t>
        </is>
      </c>
      <c r="I94" t="inlineStr">
        <is>
          <t>Mar 2026</t>
        </is>
      </c>
      <c r="J94" t="inlineStr">
        <is>
          <t>CONFIRMED</t>
        </is>
      </c>
    </row>
    <row r="95">
      <c r="A95" s="8" t="inlineStr">
        <is>
          <t>MED-P1-34</t>
        </is>
      </c>
      <c r="B95" t="inlineStr">
        <is>
          <t>Mechanism: Z3 rise = bilateral collapse, not Z3 growth</t>
        </is>
      </c>
      <c r="C95" t="inlineStr">
        <is>
          <t>H3 stable (0.0117→0.0107); H2 collapses (0.0308→0.0125)</t>
        </is>
      </c>
      <c r="D95" t="inlineStr">
        <is>
          <t>—</t>
        </is>
      </c>
      <c r="E95" t="inlineStr">
        <is>
          <t>Paper 1</t>
        </is>
      </c>
      <c r="F95" t="inlineStr">
        <is>
          <t>Meditation</t>
        </is>
      </c>
      <c r="G95" t="inlineStr">
        <is>
          <t>phase1_deep_analysis.py</t>
        </is>
      </c>
      <c r="H95" t="inlineStr">
        <is>
          <t>Zenodo 57911</t>
        </is>
      </c>
      <c r="I95" t="inlineStr">
        <is>
          <t>Mar 2026</t>
        </is>
      </c>
      <c r="J95" t="inlineStr">
        <is>
          <t>CONFIRMED</t>
        </is>
      </c>
    </row>
    <row r="96"/>
    <row r="97"/>
    <row r="98">
      <c r="A98" s="10" t="inlineStr">
        <is>
          <t>PAPER 23 — TERNARY-BINARY COUPLING, G, HIERARCHY (Apr 2026)</t>
        </is>
      </c>
    </row>
    <row r="99"/>
    <row r="100">
      <c r="A100" s="11" t="inlineStr">
        <is>
          <t>P23-01</t>
        </is>
      </c>
      <c r="B100" t="inlineStr">
        <is>
          <t>Z₃/Z₂ ternary-binary coupling: g_creation = √(Z₃/Z₂)</t>
        </is>
      </c>
      <c r="C100" t="inlineStr">
        <is>
          <t>√(3/2) = 1.2247</t>
        </is>
      </c>
      <c r="D100" t="inlineStr">
        <is>
          <t>—</t>
        </is>
      </c>
      <c r="E100" t="inlineStr">
        <is>
          <t>Paper 23</t>
        </is>
      </c>
      <c r="F100" t="inlineStr">
        <is>
          <t>2.2</t>
        </is>
      </c>
      <c r="G100" t="inlineStr">
        <is>
          <t>paper_22_lambda/sim11_sqrt32.py</t>
        </is>
      </c>
      <c r="H100" t="inlineStr">
        <is>
          <t>Synthetic</t>
        </is>
      </c>
      <c r="I100" t="inlineStr">
        <is>
          <t>Apr 2026</t>
        </is>
      </c>
      <c r="J100" t="inlineStr">
        <is>
          <t>CONFIRMED</t>
        </is>
      </c>
    </row>
    <row r="101">
      <c r="A101" s="11" t="inlineStr">
        <is>
          <t>P23-02</t>
        </is>
      </c>
      <c r="B101" t="inlineStr">
        <is>
          <t>G_eff algebraic: bipartite spinor coupling (1/2)²</t>
        </is>
      </c>
      <c r="C101" t="inlineStr">
        <is>
          <t>1/4 = 0.2500</t>
        </is>
      </c>
      <c r="D101" t="inlineStr">
        <is>
          <t>—</t>
        </is>
      </c>
      <c r="E101" t="inlineStr">
        <is>
          <t>Paper 23</t>
        </is>
      </c>
      <c r="F101" t="inlineStr">
        <is>
          <t>3.1</t>
        </is>
      </c>
      <c r="G101" t="inlineStr">
        <is>
          <t>paper_20_gravity/sim2_sim3_binding_and_volume.py</t>
        </is>
      </c>
      <c r="H101" t="inlineStr">
        <is>
          <t>Synthetic</t>
        </is>
      </c>
      <c r="I101" t="inlineStr">
        <is>
          <t>Apr 2026</t>
        </is>
      </c>
      <c r="J101" t="inlineStr">
        <is>
          <t>CONFIRMED</t>
        </is>
      </c>
    </row>
    <row r="102">
      <c r="A102" s="11" t="inlineStr">
        <is>
          <t>P23-03</t>
        </is>
      </c>
      <c r="B102" t="inlineStr">
        <is>
          <t>G_eff lattice simulation (Sim 3, Paper 20)</t>
        </is>
      </c>
      <c r="C102" t="inlineStr">
        <is>
          <t>0.2542</t>
        </is>
      </c>
      <c r="D102" t="inlineStr">
        <is>
          <t>1.7% from 1/4</t>
        </is>
      </c>
      <c r="E102" t="inlineStr">
        <is>
          <t>Paper 23</t>
        </is>
      </c>
      <c r="F102" t="inlineStr">
        <is>
          <t>3.1</t>
        </is>
      </c>
      <c r="G102" t="inlineStr">
        <is>
          <t>paper_20_gravity/sim2_sim3_binding_and_volume.py</t>
        </is>
      </c>
      <c r="H102" t="inlineStr">
        <is>
          <t>Synthetic</t>
        </is>
      </c>
      <c r="I102" t="inlineStr">
        <is>
          <t>Apr 2026</t>
        </is>
      </c>
      <c r="J102" t="inlineStr">
        <is>
          <t>CONFIRMED</t>
        </is>
      </c>
    </row>
    <row r="103">
      <c r="A103" s="11" t="inlineStr">
        <is>
          <t>P23-04</t>
        </is>
      </c>
      <c r="B103" t="inlineStr">
        <is>
          <t>Lattice spacing forced by bipartite node: a_L = 2ℓ_P</t>
        </is>
      </c>
      <c r="C103" t="inlineStr">
        <is>
          <t>2ℓ_P (exact)</t>
        </is>
      </c>
      <c r="D103" t="inlineStr">
        <is>
          <t>—</t>
        </is>
      </c>
      <c r="E103" t="inlineStr">
        <is>
          <t>Paper 23</t>
        </is>
      </c>
      <c r="F103" t="inlineStr">
        <is>
          <t>3.2</t>
        </is>
      </c>
      <c r="G103" t="inlineStr">
        <is>
          <t>paper_23_hierarchy/G_unit_conversion.py</t>
        </is>
      </c>
      <c r="H103" t="inlineStr">
        <is>
          <t>Synthetic</t>
        </is>
      </c>
      <c r="I103" t="inlineStr">
        <is>
          <t>Apr 2026</t>
        </is>
      </c>
      <c r="J103" t="inlineStr">
        <is>
          <t>CONFIRMED</t>
        </is>
      </c>
    </row>
    <row r="104">
      <c r="A104" s="11" t="inlineStr">
        <is>
          <t>P23-05</t>
        </is>
      </c>
      <c r="B104" t="inlineStr">
        <is>
          <t>Lattice time unit: τ_L = 2t_P</t>
        </is>
      </c>
      <c r="C104" t="inlineStr">
        <is>
          <t>2t_P (exact)</t>
        </is>
      </c>
      <c r="D104" t="inlineStr">
        <is>
          <t>—</t>
        </is>
      </c>
      <c r="E104" t="inlineStr">
        <is>
          <t>Paper 23</t>
        </is>
      </c>
      <c r="F104" t="inlineStr">
        <is>
          <t>3.2</t>
        </is>
      </c>
      <c r="G104" t="inlineStr">
        <is>
          <t>paper_23_hierarchy/G_unit_conversion.py</t>
        </is>
      </c>
      <c r="H104" t="inlineStr">
        <is>
          <t>Synthetic</t>
        </is>
      </c>
      <c r="I104" t="inlineStr">
        <is>
          <t>Apr 2026</t>
        </is>
      </c>
      <c r="J104" t="inlineStr">
        <is>
          <t>CONFIRMED</t>
        </is>
      </c>
    </row>
    <row r="105">
      <c r="A105" s="11" t="inlineStr">
        <is>
          <t>P23-06</t>
        </is>
      </c>
      <c r="B105" t="inlineStr">
        <is>
          <t>G_SI = G_eff × c⁵ × (2t_P)² / ħ = G_Newton</t>
        </is>
      </c>
      <c r="C105" t="inlineStr">
        <is>
          <t>Exact (algebraic identity)</t>
        </is>
      </c>
      <c r="D105" t="inlineStr">
        <is>
          <t>—</t>
        </is>
      </c>
      <c r="E105" t="inlineStr">
        <is>
          <t>Paper 23</t>
        </is>
      </c>
      <c r="F105" t="inlineStr">
        <is>
          <t>3.2</t>
        </is>
      </c>
      <c r="G105" t="inlineStr">
        <is>
          <t>paper_23_hierarchy/G_unit_conversion.py</t>
        </is>
      </c>
      <c r="H105" t="inlineStr">
        <is>
          <t>Synthetic</t>
        </is>
      </c>
      <c r="I105" t="inlineStr">
        <is>
          <t>Apr 2026</t>
        </is>
      </c>
      <c r="J105" t="inlineStr">
        <is>
          <t>CONFIRMED</t>
        </is>
      </c>
    </row>
    <row r="106">
      <c r="A106" s="11" t="inlineStr">
        <is>
          <t>P23-07</t>
        </is>
      </c>
      <c r="B106" t="inlineStr">
        <is>
          <t>v_tree = m_P × exp(−12π − 1/72) / 2 (m_P = 1.2209×10¹⁹ GeV, PDG 2024)</t>
        </is>
      </c>
      <c r="C106" t="inlineStr">
        <is>
          <t>255.3 GeV</t>
        </is>
      </c>
      <c r="D106" t="inlineStr">
        <is>
          <t>0.12% from measured 255.0 GeV</t>
        </is>
      </c>
      <c r="E106" t="inlineStr">
        <is>
          <t>Paper 23</t>
        </is>
      </c>
      <c r="F106" t="inlineStr">
        <is>
          <t>4.2</t>
        </is>
      </c>
      <c r="G106" t="inlineStr">
        <is>
          <t>paper_23_hierarchy/sim13_closure_scale.py</t>
        </is>
      </c>
      <c r="H106" t="inlineStr">
        <is>
          <t>Synthetic</t>
        </is>
      </c>
      <c r="I106" t="inlineStr">
        <is>
          <t>Apr 2026</t>
        </is>
      </c>
      <c r="J106" t="inlineStr">
        <is>
          <t>CONFIRMED</t>
        </is>
      </c>
    </row>
    <row r="107">
      <c r="A107" s="11" t="inlineStr">
        <is>
          <t>P23-08</t>
        </is>
      </c>
      <c r="B107" t="inlineStr">
        <is>
          <t>v_phys = v_tree × 28/29 (D₄ boundary correction)</t>
        </is>
      </c>
      <c r="C107" t="inlineStr">
        <is>
          <t>246.5 GeV</t>
        </is>
      </c>
      <c r="D107" t="inlineStr">
        <is>
          <t>0.12% from measured 246.22 GeV</t>
        </is>
      </c>
      <c r="E107" t="inlineStr">
        <is>
          <t>Paper 23</t>
        </is>
      </c>
      <c r="F107" t="inlineStr">
        <is>
          <t>4.2</t>
        </is>
      </c>
      <c r="G107" t="inlineStr">
        <is>
          <t>paper_23_hierarchy/sim13_closure_scale.py</t>
        </is>
      </c>
      <c r="H107" t="inlineStr">
        <is>
          <t>Synthetic</t>
        </is>
      </c>
      <c r="I107" t="inlineStr">
        <is>
          <t>Apr 2026</t>
        </is>
      </c>
      <c r="J107" t="inlineStr">
        <is>
          <t>CONFIRMED</t>
        </is>
      </c>
    </row>
    <row r="108">
      <c r="A108" s="11" t="inlineStr">
        <is>
          <t>P23-09</t>
        </is>
      </c>
      <c r="B108" t="inlineStr">
        <is>
          <t>Hierarchy ratio v/m_P: leading exp(−12π)/2</t>
        </is>
      </c>
      <c r="C108" t="inlineStr">
        <is>
          <t>2.12×10⁻¹⁷</t>
        </is>
      </c>
      <c r="D108" t="inlineStr">
        <is>
          <t>5.1% from measured 2.02×10⁻¹⁷</t>
        </is>
      </c>
      <c r="E108" t="inlineStr">
        <is>
          <t>Paper 23</t>
        </is>
      </c>
      <c r="F108" t="inlineStr">
        <is>
          <t>4.2</t>
        </is>
      </c>
      <c r="G108" t="inlineStr">
        <is>
          <t>paper_23_hierarchy/sim13_closure_scale.py</t>
        </is>
      </c>
      <c r="H108" t="inlineStr">
        <is>
          <t>Synthetic</t>
        </is>
      </c>
      <c r="I108" t="inlineStr">
        <is>
          <t>Apr 2026</t>
        </is>
      </c>
      <c r="J108" t="inlineStr">
        <is>
          <t>CONFIRMED</t>
        </is>
      </c>
    </row>
    <row r="109">
      <c r="A109" s="11" t="inlineStr">
        <is>
          <t>P23-10</t>
        </is>
      </c>
      <c r="B109" t="inlineStr">
        <is>
          <t>Hierarchy ratio v/m_P: measured (v_phys/m_P)</t>
        </is>
      </c>
      <c r="C109" t="inlineStr">
        <is>
          <t>2.02×10⁻¹⁷</t>
        </is>
      </c>
      <c r="D109" t="inlineStr">
        <is>
          <t>—</t>
        </is>
      </c>
      <c r="E109" t="inlineStr">
        <is>
          <t>Paper 23</t>
        </is>
      </c>
      <c r="F109" t="inlineStr">
        <is>
          <t>4.2</t>
        </is>
      </c>
      <c r="G109" t="inlineStr">
        <is>
          <t>—</t>
        </is>
      </c>
      <c r="H109" t="inlineStr">
        <is>
          <t>PDG 2024 + Planck 2024</t>
        </is>
      </c>
      <c r="I109" t="inlineStr">
        <is>
          <t>Apr 2026</t>
        </is>
      </c>
      <c r="J109" t="inlineStr">
        <is>
          <t>CONFIRMED</t>
        </is>
      </c>
    </row>
    <row r="110">
      <c r="A110" s="11" t="inlineStr">
        <is>
          <t>P23-11</t>
        </is>
      </c>
      <c r="B110" t="inlineStr">
        <is>
          <t>Sub-leading correction to v: −1/72 = −1/(h × rank(E₆))</t>
        </is>
      </c>
      <c r="C110" t="inlineStr">
        <is>
          <t>−1/(12×6) = −1/72 (exact)</t>
        </is>
      </c>
      <c r="D110" t="inlineStr">
        <is>
          <t>—</t>
        </is>
      </c>
      <c r="E110" t="inlineStr">
        <is>
          <t>Paper 23</t>
        </is>
      </c>
      <c r="F110" t="inlineStr">
        <is>
          <t>4.2</t>
        </is>
      </c>
      <c r="G110" t="inlineStr">
        <is>
          <t>paper_23_hierarchy/sim13_closure_scale.py</t>
        </is>
      </c>
      <c r="H110" t="inlineStr">
        <is>
          <t>Synthetic</t>
        </is>
      </c>
      <c r="I110" t="inlineStr">
        <is>
          <t>Apr 2026</t>
        </is>
      </c>
      <c r="J110" t="inlineStr">
        <is>
          <t>CONFIRMED</t>
        </is>
      </c>
    </row>
    <row r="111">
      <c r="A111" s="11" t="inlineStr">
        <is>
          <t>P23-12</t>
        </is>
      </c>
      <c r="B111" t="inlineStr">
        <is>
          <t>Coxeter rotation per step forcing hierarchy: e^{iπ} = −1</t>
        </is>
      </c>
      <c r="C111" t="inlineStr">
        <is>
          <t>π per step (exact, algebraic)</t>
        </is>
      </c>
      <c r="D111" t="inlineStr">
        <is>
          <t>—</t>
        </is>
      </c>
      <c r="E111" t="inlineStr">
        <is>
          <t>Paper 23</t>
        </is>
      </c>
      <c r="F111" t="inlineStr">
        <is>
          <t>4.1</t>
        </is>
      </c>
      <c r="G111" t="inlineStr">
        <is>
          <t>—</t>
        </is>
      </c>
      <c r="H111" t="inlineStr">
        <is>
          <t>Derivation</t>
        </is>
      </c>
      <c r="I111" t="inlineStr">
        <is>
          <t>Apr 2026</t>
        </is>
      </c>
      <c r="J111" t="inlineStr">
        <is>
          <t>CONFIRMED</t>
        </is>
      </c>
    </row>
    <row r="112">
      <c r="A112" s="11" t="inlineStr">
        <is>
          <t>P23-13</t>
        </is>
      </c>
      <c r="B112" t="inlineStr">
        <is>
          <t>Ouroboros closure: e^{i×12π} = (−1)^12 = 1 (why h = 12)</t>
        </is>
      </c>
      <c r="C112" t="inlineStr">
        <is>
          <t>Exact</t>
        </is>
      </c>
      <c r="D112" t="inlineStr">
        <is>
          <t>—</t>
        </is>
      </c>
      <c r="E112" t="inlineStr">
        <is>
          <t>Paper 23</t>
        </is>
      </c>
      <c r="F112" t="inlineStr">
        <is>
          <t>4.1</t>
        </is>
      </c>
      <c r="G112" t="inlineStr">
        <is>
          <t>—</t>
        </is>
      </c>
      <c r="H112" t="inlineStr">
        <is>
          <t>Derivation</t>
        </is>
      </c>
      <c r="I112" t="inlineStr">
        <is>
          <t>Apr 2026</t>
        </is>
      </c>
      <c r="J112" t="inlineStr">
        <is>
          <t>CONFIRMED</t>
        </is>
      </c>
    </row>
    <row r="113">
      <c r="A113" s="11" t="inlineStr">
        <is>
          <t>P23-14</t>
        </is>
      </c>
      <c r="B113" t="inlineStr">
        <is>
          <t>Ratio of exponents Λ/hierarchy: 280.06 / 12π</t>
        </is>
      </c>
      <c r="C113" t="inlineStr">
        <is>
          <t>7.43</t>
        </is>
      </c>
      <c r="D113" t="inlineStr">
        <is>
          <t>—</t>
        </is>
      </c>
      <c r="E113" t="inlineStr">
        <is>
          <t>Paper 23</t>
        </is>
      </c>
      <c r="F113" t="inlineStr">
        <is>
          <t>7</t>
        </is>
      </c>
      <c r="G113" t="inlineStr">
        <is>
          <t>—</t>
        </is>
      </c>
      <c r="H113" t="inlineStr">
        <is>
          <t>Derivation</t>
        </is>
      </c>
      <c r="I113" t="inlineStr">
        <is>
          <t>Apr 2026</t>
        </is>
      </c>
      <c r="J113" t="inlineStr">
        <is>
          <t>CONFIRMED</t>
        </is>
      </c>
    </row>
    <row r="114">
      <c r="A114" s="11" t="inlineStr">
        <is>
          <t>P23-15</t>
        </is>
      </c>
      <c r="B114" t="inlineStr">
        <is>
          <t>Ratio formula: 47 × 78 / (50π²)</t>
        </is>
      </c>
      <c r="C114" t="inlineStr">
        <is>
          <t>7.4289</t>
        </is>
      </c>
      <c r="D114" t="inlineStr">
        <is>
          <t>—</t>
        </is>
      </c>
      <c r="E114" t="inlineStr">
        <is>
          <t>Paper 23</t>
        </is>
      </c>
      <c r="F114" t="inlineStr">
        <is>
          <t>7</t>
        </is>
      </c>
      <c r="G114" t="inlineStr">
        <is>
          <t>—</t>
        </is>
      </c>
      <c r="H114" t="inlineStr">
        <is>
          <t>Derivation</t>
        </is>
      </c>
      <c r="I114" t="inlineStr">
        <is>
          <t>Apr 2026</t>
        </is>
      </c>
      <c r="J114" t="inlineStr">
        <is>
          <t>CONFIRMED</t>
        </is>
      </c>
    </row>
    <row r="115">
      <c r="A115" s="11" t="inlineStr">
        <is>
          <t>P23-16</t>
        </is>
      </c>
      <c r="B115" t="inlineStr">
        <is>
          <t>Rz phase difference between spinors per ouroboros cycle (Paper 25, hardware)</t>
        </is>
      </c>
      <c r="C115" t="inlineStr">
        <is>
          <t>11.73 rad = 3.73π</t>
        </is>
      </c>
      <c r="D115" t="inlineStr">
        <is>
          <t>—</t>
        </is>
      </c>
      <c r="E115" t="inlineStr">
        <is>
          <t>Paper 23</t>
        </is>
      </c>
      <c r="F115" t="inlineStr">
        <is>
          <t>4.3</t>
        </is>
      </c>
      <c r="G115" t="inlineStr">
        <is>
          <t>TBD (Paper 25)</t>
        </is>
      </c>
      <c r="H115" t="inlineStr">
        <is>
          <t>Hardware (forthcoming)</t>
        </is>
      </c>
      <c r="I115" t="inlineStr">
        <is>
          <t>Apr 2026</t>
        </is>
      </c>
      <c r="J115" t="inlineStr">
        <is>
          <t>PENDING</t>
        </is>
      </c>
    </row>
    <row r="116"/>
    <row r="117"/>
    <row r="118">
      <c r="A118" s="12" t="inlineStr">
        <is>
          <t>PAPER 3 — IBM HARDWARE &amp; PENTACHORIC CIRCUITS (Mar–Apr 2026)</t>
        </is>
      </c>
    </row>
    <row r="119"/>
    <row r="120">
      <c r="A120" s="13" t="inlineStr">
        <is>
          <t>P3-01</t>
        </is>
      </c>
      <c r="B120" t="inlineStr">
        <is>
          <t>IBM Eagle r3 Fano factor (756 QEC runs, sub-Poissonian)</t>
        </is>
      </c>
      <c r="C120" t="inlineStr">
        <is>
          <t>0.856</t>
        </is>
      </c>
      <c r="D120" t="inlineStr">
        <is>
          <t>t = -131σ below 1.0</t>
        </is>
      </c>
      <c r="E120" t="inlineStr">
        <is>
          <t>Paper 3</t>
        </is>
      </c>
      <c r="F120" t="inlineStr">
        <is>
          <t>2.1</t>
        </is>
      </c>
      <c r="G120" t="inlineStr">
        <is>
          <t>ibm_heron_paper15_tests.py</t>
        </is>
      </c>
      <c r="H120" t="inlineStr">
        <is>
          <t>Zenodo 17881116</t>
        </is>
      </c>
      <c r="I120" t="inlineStr">
        <is>
          <t>Mar 2026</t>
        </is>
      </c>
      <c r="J120" t="inlineStr">
        <is>
          <t>CONFIRMED</t>
        </is>
      </c>
    </row>
    <row r="121">
      <c r="A121" s="13" t="inlineStr">
        <is>
          <t>P3-02</t>
        </is>
      </c>
      <c r="B121" t="inlineStr">
        <is>
          <t>Google Willow Fano factor (super-Poissonian control)</t>
        </is>
      </c>
      <c r="C121" t="inlineStr">
        <is>
          <t>2.42</t>
        </is>
      </c>
      <c r="D121" t="inlineStr">
        <is>
          <t>—</t>
        </is>
      </c>
      <c r="E121" t="inlineStr">
        <is>
          <t>Paper 3</t>
        </is>
      </c>
      <c r="F121" t="inlineStr">
        <is>
          <t>2.2</t>
        </is>
      </c>
      <c r="G121" t="inlineStr">
        <is>
          <t>willow_fano_analysis.py</t>
        </is>
      </c>
      <c r="H121" t="inlineStr">
        <is>
          <t>Zenodo (Willow)</t>
        </is>
      </c>
      <c r="I121" t="inlineStr">
        <is>
          <t>Mar 2026</t>
        </is>
      </c>
      <c r="J121" t="inlineStr">
        <is>
          <t>CONFIRMED</t>
        </is>
      </c>
    </row>
    <row r="122">
      <c r="A122" s="13" t="inlineStr">
        <is>
          <t>P3-03</t>
        </is>
      </c>
      <c r="B122" t="inlineStr">
        <is>
          <t>IBM burst scaling R² (linear)</t>
        </is>
      </c>
      <c r="C122" t="inlineStr">
        <is>
          <t>0.9999</t>
        </is>
      </c>
      <c r="D122" t="inlineStr">
        <is>
          <t>—</t>
        </is>
      </c>
      <c r="E122" t="inlineStr">
        <is>
          <t>Paper 3</t>
        </is>
      </c>
      <c r="F122" t="inlineStr">
        <is>
          <t>2.1</t>
        </is>
      </c>
      <c r="G122" t="inlineStr">
        <is>
          <t>ibm_heron_paper15_tests.py</t>
        </is>
      </c>
      <c r="H122" t="inlineStr">
        <is>
          <t>Zenodo 17881116</t>
        </is>
      </c>
      <c r="I122" t="inlineStr">
        <is>
          <t>Mar 2026</t>
        </is>
      </c>
      <c r="J122" t="inlineStr">
        <is>
          <t>CONFIRMED</t>
        </is>
      </c>
    </row>
    <row r="123">
      <c r="A123" s="13" t="inlineStr">
        <is>
          <t>P3-04</t>
        </is>
      </c>
      <c r="B123" t="inlineStr">
        <is>
          <t>IBM spatial correlation (anti-bunched, ANOVA)</t>
        </is>
      </c>
      <c r="C123" t="inlineStr">
        <is>
          <t>p = 0.79</t>
        </is>
      </c>
      <c r="D123" t="inlineStr">
        <is>
          <t>no distance dependence</t>
        </is>
      </c>
      <c r="E123" t="inlineStr">
        <is>
          <t>Paper 3</t>
        </is>
      </c>
      <c r="F123" t="inlineStr">
        <is>
          <t>2.3</t>
        </is>
      </c>
      <c r="G123" t="inlineStr">
        <is>
          <t>ibm_heron_paper15_tests.py</t>
        </is>
      </c>
      <c r="H123" t="inlineStr">
        <is>
          <t>Zenodo 17881116</t>
        </is>
      </c>
      <c r="I123" t="inlineStr">
        <is>
          <t>Mar 2026</t>
        </is>
      </c>
      <c r="J123" t="inlineStr">
        <is>
          <t>CONFIRMED</t>
        </is>
      </c>
    </row>
    <row r="124">
      <c r="A124" s="13" t="inlineStr">
        <is>
          <t>P3-05</t>
        </is>
      </c>
      <c r="B124" t="inlineStr">
        <is>
          <t>Hardware Z2 symmetry error (n=4,6,8,12)</t>
        </is>
      </c>
      <c r="C124" t="inlineStr">
        <is>
          <t>0.0163</t>
        </is>
      </c>
      <c r="D124" t="inlineStr">
        <is>
          <t>threshold 0.03</t>
        </is>
      </c>
      <c r="E124" t="inlineStr">
        <is>
          <t>Paper 3</t>
        </is>
      </c>
      <c r="F124" t="inlineStr">
        <is>
          <t>4.1</t>
        </is>
      </c>
      <c r="G124" t="inlineStr">
        <is>
          <t>ouroboros_circuit.py</t>
        </is>
      </c>
      <c r="H124" t="inlineStr">
        <is>
          <t>ibm_strasbourg</t>
        </is>
      </c>
      <c r="I124" t="inlineStr">
        <is>
          <t>Apr 2026</t>
        </is>
      </c>
      <c r="J124" t="inlineStr">
        <is>
          <t>CONFIRMED</t>
        </is>
      </c>
    </row>
    <row r="125">
      <c r="A125" s="13" t="inlineStr">
        <is>
          <t>P3-06</t>
        </is>
      </c>
      <c r="B125" t="inlineStr">
        <is>
          <t>Hardware Fano τ=5 (paired circuit, 9 qubits)</t>
        </is>
      </c>
      <c r="C125" t="inlineStr">
        <is>
          <t>0.506</t>
        </is>
      </c>
      <c r="D125" t="inlineStr">
        <is>
          <t>—</t>
        </is>
      </c>
      <c r="E125" t="inlineStr">
        <is>
          <t>Paper 3</t>
        </is>
      </c>
      <c r="F125" t="inlineStr">
        <is>
          <t>4.2</t>
        </is>
      </c>
      <c r="G125" t="inlineStr">
        <is>
          <t>ouroboros_circuit.py</t>
        </is>
      </c>
      <c r="H125" t="inlineStr">
        <is>
          <t>ibm_strasbourg</t>
        </is>
      </c>
      <c r="I125" t="inlineStr">
        <is>
          <t>Apr 2026</t>
        </is>
      </c>
      <c r="J125" t="inlineStr">
        <is>
          <t>CONFIRMED</t>
        </is>
      </c>
    </row>
    <row r="126">
      <c r="A126" s="13" t="inlineStr">
        <is>
          <t>P3-07</t>
        </is>
      </c>
      <c r="B126" t="inlineStr">
        <is>
          <t>Per-round Fano τ=5 (stable across all 5 rounds)</t>
        </is>
      </c>
      <c r="C126" t="inlineStr">
        <is>
          <t>0.487</t>
        </is>
      </c>
      <c r="D126" t="inlineStr">
        <is>
          <t>—</t>
        </is>
      </c>
      <c r="E126" t="inlineStr">
        <is>
          <t>Paper 3</t>
        </is>
      </c>
      <c r="F126" t="inlineStr">
        <is>
          <t>4.2</t>
        </is>
      </c>
      <c r="G126" t="inlineStr">
        <is>
          <t>ouroboros_circuit.py</t>
        </is>
      </c>
      <c r="H126" t="inlineStr">
        <is>
          <t>ibm_strasbourg</t>
        </is>
      </c>
      <c r="I126" t="inlineStr">
        <is>
          <t>Apr 2026</t>
        </is>
      </c>
      <c r="J126" t="inlineStr">
        <is>
          <t>CONFIRMED</t>
        </is>
      </c>
    </row>
    <row r="127">
      <c r="A127" s="13" t="inlineStr">
        <is>
          <t>P3-08</t>
        </is>
      </c>
      <c r="B127" t="inlineStr">
        <is>
          <t>Ramsey n=4 hardware diff vs ideal (-0.556)</t>
        </is>
      </c>
      <c r="C127" t="inlineStr">
        <is>
          <t>-0.557</t>
        </is>
      </c>
      <c r="D127" t="inlineStr">
        <is>
          <t>near-exact</t>
        </is>
      </c>
      <c r="E127" t="inlineStr">
        <is>
          <t>Paper 3</t>
        </is>
      </c>
      <c r="F127" t="inlineStr">
        <is>
          <t>4.3</t>
        </is>
      </c>
      <c r="G127" t="inlineStr">
        <is>
          <t>ouroboros_circuit.py</t>
        </is>
      </c>
      <c r="H127" t="inlineStr">
        <is>
          <t>ibm_strasbourg</t>
        </is>
      </c>
      <c r="I127" t="inlineStr">
        <is>
          <t>Apr 2026</t>
        </is>
      </c>
      <c r="J127" t="inlineStr">
        <is>
          <t>CONFIRMED</t>
        </is>
      </c>
    </row>
    <row r="128">
      <c r="A128" s="13" t="inlineStr">
        <is>
          <t>P3-09</t>
        </is>
      </c>
      <c r="B128" t="inlineStr">
        <is>
          <t>Ramsey n=10 hardware diff vs ideal (+1.486)</t>
        </is>
      </c>
      <c r="C128" t="inlineStr">
        <is>
          <t>+1.433</t>
        </is>
      </c>
      <c r="D128" t="inlineStr">
        <is>
          <t>96% fidelity</t>
        </is>
      </c>
      <c r="E128" t="inlineStr">
        <is>
          <t>Paper 3</t>
        </is>
      </c>
      <c r="F128" t="inlineStr">
        <is>
          <t>4.3</t>
        </is>
      </c>
      <c r="G128" t="inlineStr">
        <is>
          <t>ouroboros_circuit.py</t>
        </is>
      </c>
      <c r="H128" t="inlineStr">
        <is>
          <t>ibm_strasbourg</t>
        </is>
      </c>
      <c r="I128" t="inlineStr">
        <is>
          <t>Apr 2026</t>
        </is>
      </c>
      <c r="J128" t="inlineStr">
        <is>
          <t>CONFIRMED</t>
        </is>
      </c>
    </row>
    <row r="129">
      <c r="A129" s="13" t="inlineStr">
        <is>
          <t>P3-10</t>
        </is>
      </c>
      <c r="B129" t="inlineStr">
        <is>
          <t>Stroboscopic quasi-period 3.3T = 39.6 steps</t>
        </is>
      </c>
      <c r="C129" t="inlineStr">
        <is>
          <t>n=39: P=0.890</t>
        </is>
      </c>
      <c r="D129" t="inlineStr">
        <is>
          <t>ideal 0.909, 97.9%</t>
        </is>
      </c>
      <c r="E129" t="inlineStr">
        <is>
          <t>Paper 3</t>
        </is>
      </c>
      <c r="F129" t="inlineStr">
        <is>
          <t>4.4</t>
        </is>
      </c>
      <c r="G129" t="inlineStr">
        <is>
          <t>ouroboros_circuit.py</t>
        </is>
      </c>
      <c r="H129" t="inlineStr">
        <is>
          <t>ibm_strasbourg</t>
        </is>
      </c>
      <c r="I129" t="inlineStr">
        <is>
          <t>Apr 2026</t>
        </is>
      </c>
      <c r="J129" t="inlineStr">
        <is>
          <t>CONFIRMED</t>
        </is>
      </c>
    </row>
    <row r="130">
      <c r="A130" s="13" t="inlineStr">
        <is>
          <t>P3-11</t>
        </is>
      </c>
      <c r="B130" t="inlineStr">
        <is>
          <t>3-merkabit triangle Fano (sim, 9 qubits)</t>
        </is>
      </c>
      <c r="C130" t="inlineStr">
        <is>
          <t>0.535 (τ=1)</t>
        </is>
      </c>
      <c r="D130" t="inlineStr">
        <is>
          <t>73.2% detection</t>
        </is>
      </c>
      <c r="E130" t="inlineStr">
        <is>
          <t>Paper 3</t>
        </is>
      </c>
      <c r="F130" t="inlineStr">
        <is>
          <t>3.1</t>
        </is>
      </c>
      <c r="G130" t="inlineStr">
        <is>
          <t>multi_merkabit_circuit.py</t>
        </is>
      </c>
      <c r="H130" t="inlineStr">
        <is>
          <t>Synthetic</t>
        </is>
      </c>
      <c r="I130" t="inlineStr">
        <is>
          <t>Mar 2026</t>
        </is>
      </c>
      <c r="J130" t="inlineStr">
        <is>
          <t>CONFIRMED</t>
        </is>
      </c>
    </row>
    <row r="131">
      <c r="A131" s="13" t="inlineStr">
        <is>
          <t>P3-12</t>
        </is>
      </c>
      <c r="B131" t="inlineStr">
        <is>
          <t>7-merkabit Eisenstein Fano (sim, 26 qubits)</t>
        </is>
      </c>
      <c r="C131" t="inlineStr">
        <is>
          <t>0.561 (τ=1)</t>
        </is>
      </c>
      <c r="D131" t="inlineStr">
        <is>
          <t>97.5% detection</t>
        </is>
      </c>
      <c r="E131" t="inlineStr">
        <is>
          <t>Paper 3</t>
        </is>
      </c>
      <c r="F131" t="inlineStr">
        <is>
          <t>3.2</t>
        </is>
      </c>
      <c r="G131" t="inlineStr">
        <is>
          <t>multi_merkabit_circuit.py</t>
        </is>
      </c>
      <c r="H131" t="inlineStr">
        <is>
          <t>Synthetic</t>
        </is>
      </c>
      <c r="I131" t="inlineStr">
        <is>
          <t>Mar 2026</t>
        </is>
      </c>
      <c r="J131" t="inlineStr">
        <is>
          <t>CONFIRMED</t>
        </is>
      </c>
    </row>
    <row r="132">
      <c r="A132" s="13" t="inlineStr">
        <is>
          <t>P3-13</t>
        </is>
      </c>
      <c r="B132" t="inlineStr">
        <is>
          <t>DFA Hurst exponent T1 (anti-persistent)</t>
        </is>
      </c>
      <c r="C132" t="inlineStr">
        <is>
          <t>~0.15</t>
        </is>
      </c>
      <c r="D132" t="inlineStr">
        <is>
          <t>—</t>
        </is>
      </c>
      <c r="E132" t="inlineStr">
        <is>
          <t>Paper 3</t>
        </is>
      </c>
      <c r="F132" t="inlineStr">
        <is>
          <t>2.4</t>
        </is>
      </c>
      <c r="G132" t="inlineStr">
        <is>
          <t>daqec_acf_psd_analysis.py</t>
        </is>
      </c>
      <c r="H132" t="inlineStr">
        <is>
          <t>Zenodo 17881116</t>
        </is>
      </c>
      <c r="I132" t="inlineStr">
        <is>
          <t>Mar 2026</t>
        </is>
      </c>
      <c r="J132" t="inlineStr">
        <is>
          <t>CONFIRMED</t>
        </is>
      </c>
    </row>
    <row r="133">
      <c r="A133" s="13" t="inlineStr">
        <is>
          <t>P3-14</t>
        </is>
      </c>
      <c r="B133" t="inlineStr">
        <is>
          <t>DFA Hurst exponent T2 (persistent)</t>
        </is>
      </c>
      <c r="C133" t="inlineStr">
        <is>
          <t>~1.0</t>
        </is>
      </c>
      <c r="D133" t="inlineStr">
        <is>
          <t>—</t>
        </is>
      </c>
      <c r="E133" t="inlineStr">
        <is>
          <t>Paper 3</t>
        </is>
      </c>
      <c r="F133" t="inlineStr">
        <is>
          <t>2.4</t>
        </is>
      </c>
      <c r="G133" t="inlineStr">
        <is>
          <t>daqec_acf_psd_analysis.py</t>
        </is>
      </c>
      <c r="H133" t="inlineStr">
        <is>
          <t>Zenodo 17881116</t>
        </is>
      </c>
      <c r="I133" t="inlineStr">
        <is>
          <t>Mar 2026</t>
        </is>
      </c>
      <c r="J133" t="inlineStr">
        <is>
          <t>CONFIRMED</t>
        </is>
      </c>
    </row>
    <row r="134"/>
    <row r="135"/>
    <row r="136">
      <c r="A136" s="12" t="inlineStr">
        <is>
          <t>PAPER 5 — FUSION IGNITION SIMULATION (Mar 2026)</t>
        </is>
      </c>
    </row>
    <row r="137"/>
    <row r="138">
      <c r="A138" s="13" t="inlineStr">
        <is>
          <t>P5-01</t>
        </is>
      </c>
      <c r="B138" t="inlineStr">
        <is>
          <t>Breathing window ratio (D_ign/D_threshold)</t>
        </is>
      </c>
      <c r="C138" t="inlineStr">
        <is>
          <t>4/3 exactly</t>
        </is>
      </c>
      <c r="D138" t="inlineStr">
        <is>
          <t>algebraic</t>
        </is>
      </c>
      <c r="E138" t="inlineStr">
        <is>
          <t>Paper 5</t>
        </is>
      </c>
      <c r="F138" t="inlineStr">
        <is>
          <t>3.1</t>
        </is>
      </c>
      <c r="G138" t="inlineStr">
        <is>
          <t>module6_breathing_window.py</t>
        </is>
      </c>
      <c r="H138" t="inlineStr">
        <is>
          <t>Synthetic</t>
        </is>
      </c>
      <c r="I138" t="inlineStr">
        <is>
          <t>Mar 2026</t>
        </is>
      </c>
      <c r="J138" t="inlineStr">
        <is>
          <t>CONFIRMED</t>
        </is>
      </c>
    </row>
    <row r="139">
      <c r="A139" s="13" t="inlineStr">
        <is>
          <t>P5-02</t>
        </is>
      </c>
      <c r="B139" t="inlineStr">
        <is>
          <t>F-gate frequency locking (ω = 2π/12)</t>
        </is>
      </c>
      <c r="C139" t="inlineStr">
        <is>
          <t>2π/12</t>
        </is>
      </c>
      <c r="D139" t="inlineStr">
        <is>
          <t>ouroboros frequency</t>
        </is>
      </c>
      <c r="E139" t="inlineStr">
        <is>
          <t>Paper 5</t>
        </is>
      </c>
      <c r="F139" t="inlineStr">
        <is>
          <t>3.2</t>
        </is>
      </c>
      <c r="G139" t="inlineStr">
        <is>
          <t>module6_fgate_breathing.py</t>
        </is>
      </c>
      <c r="H139" t="inlineStr">
        <is>
          <t>Synthetic</t>
        </is>
      </c>
      <c r="I139" t="inlineStr">
        <is>
          <t>Mar 2026</t>
        </is>
      </c>
      <c r="J139" t="inlineStr">
        <is>
          <t>CONFIRMED</t>
        </is>
      </c>
    </row>
    <row r="140">
      <c r="A140" s="13" t="inlineStr">
        <is>
          <t>P5-03</t>
        </is>
      </c>
      <c r="B140" t="inlineStr">
        <is>
          <t>r cooperative parameter = (4×dim(E₆)-1)/100</t>
        </is>
      </c>
      <c r="C140" t="inlineStr">
        <is>
          <t>311/100 = 3.11</t>
        </is>
      </c>
      <c r="D140" t="inlineStr">
        <is>
          <t>—</t>
        </is>
      </c>
      <c r="E140" t="inlineStr">
        <is>
          <t>Paper 5</t>
        </is>
      </c>
      <c r="F140" t="inlineStr">
        <is>
          <t>3.3</t>
        </is>
      </c>
      <c r="G140" t="inlineStr">
        <is>
          <t>fusion_ignition_simulation.py</t>
        </is>
      </c>
      <c r="H140" t="inlineStr">
        <is>
          <t>Synthetic</t>
        </is>
      </c>
      <c r="I140" t="inlineStr">
        <is>
          <t>Mar 2026</t>
        </is>
      </c>
      <c r="J140" t="inlineStr">
        <is>
          <t>CONFIRMED</t>
        </is>
      </c>
    </row>
    <row r="141">
      <c r="A141" s="13" t="inlineStr">
        <is>
          <t>P5-04</t>
        </is>
      </c>
      <c r="B141" t="inlineStr">
        <is>
          <t>Lawson in pure E₆: C = 4×rank×(4×dim-1)/900</t>
        </is>
      </c>
      <c r="C141" t="inlineStr">
        <is>
          <t>7464/900</t>
        </is>
      </c>
      <c r="D141" t="inlineStr">
        <is>
          <t>every integer is E₆</t>
        </is>
      </c>
      <c r="E141" t="inlineStr">
        <is>
          <t>Paper 5</t>
        </is>
      </c>
      <c r="F141" t="inlineStr">
        <is>
          <t>3.4</t>
        </is>
      </c>
      <c r="G141" t="inlineStr">
        <is>
          <t>module7_lawson_gap.py</t>
        </is>
      </c>
      <c r="H141" t="inlineStr">
        <is>
          <t>Synthetic</t>
        </is>
      </c>
      <c r="I141" t="inlineStr">
        <is>
          <t>Mar 2026</t>
        </is>
      </c>
      <c r="J141" t="inlineStr">
        <is>
          <t>CONFIRMED</t>
        </is>
      </c>
    </row>
    <row r="142">
      <c r="A142" s="13" t="inlineStr">
        <is>
          <t>P5-05</t>
        </is>
      </c>
      <c r="B142" t="inlineStr">
        <is>
          <t>L_eff vs L_class</t>
        </is>
      </c>
      <c r="C142" t="inlineStr">
        <is>
          <t>2.86×10²¹ vs 3.0×10²¹</t>
        </is>
      </c>
      <c r="D142" t="inlineStr">
        <is>
          <t>4.7% gap = plasma physics</t>
        </is>
      </c>
      <c r="E142" t="inlineStr">
        <is>
          <t>Paper 5</t>
        </is>
      </c>
      <c r="F142" t="inlineStr">
        <is>
          <t>3.5</t>
        </is>
      </c>
      <c r="G142" t="inlineStr">
        <is>
          <t>fusion_ignition_simulation.py</t>
        </is>
      </c>
      <c r="H142" t="inlineStr">
        <is>
          <t>Synthetic</t>
        </is>
      </c>
      <c r="I142" t="inlineStr">
        <is>
          <t>Mar 2026</t>
        </is>
      </c>
      <c r="J142" t="inlineStr">
        <is>
          <t>CONFIRMED</t>
        </is>
      </c>
    </row>
    <row r="143">
      <c r="A143" s="13" t="inlineStr">
        <is>
          <t>P5-06</t>
        </is>
      </c>
      <c r="B143" t="inlineStr">
        <is>
          <t>Universal confinement ratio τ_E / T_ELM</t>
        </is>
      </c>
      <c r="C143" t="inlineStr">
        <is>
          <t>4.0</t>
        </is>
      </c>
      <c r="D143" t="inlineStr">
        <is>
          <t>CV = 3.3% across 6 tokamaks</t>
        </is>
      </c>
      <c r="E143" t="inlineStr">
        <is>
          <t>Paper 5</t>
        </is>
      </c>
      <c r="F143" t="inlineStr">
        <is>
          <t>4.1</t>
        </is>
      </c>
      <c r="G143" t="inlineStr">
        <is>
          <t>module9_universal_confinement.py</t>
        </is>
      </c>
      <c r="H143" t="inlineStr">
        <is>
          <t>Experimental</t>
        </is>
      </c>
      <c r="I143" t="inlineStr">
        <is>
          <t>Mar 2026</t>
        </is>
      </c>
      <c r="J143" t="inlineStr">
        <is>
          <t>CONFIRMED</t>
        </is>
      </c>
    </row>
    <row r="144"/>
    <row r="145"/>
    <row r="146">
      <c r="A146" s="12" t="inlineStr">
        <is>
          <t>PAPER 6 — GEOMETRIC OPERATOR &amp; SPECTRAL STATISTICS (Mar 2026)</t>
        </is>
      </c>
    </row>
    <row r="147"/>
    <row r="148">
      <c r="A148" s="13" t="inlineStr">
        <is>
          <t>P6-01</t>
        </is>
      </c>
      <c r="B148" t="inlineStr">
        <is>
          <t>GOE→GUE transition at Peierls flux Φ=1/6: KS(GUE)</t>
        </is>
      </c>
      <c r="C148" t="inlineStr">
        <is>
          <t>0.052, p=0.57</t>
        </is>
      </c>
      <c r="D148" t="inlineStr">
        <is>
          <t>L=18</t>
        </is>
      </c>
      <c r="E148" t="inlineStr">
        <is>
          <t>Paper 6</t>
        </is>
      </c>
      <c r="F148" t="inlineStr">
        <is>
          <t>A14</t>
        </is>
      </c>
      <c r="G148" t="inlineStr">
        <is>
          <t>analysis_14/</t>
        </is>
      </c>
      <c r="H148" t="inlineStr">
        <is>
          <t>Synthetic</t>
        </is>
      </c>
      <c r="I148" t="inlineStr">
        <is>
          <t>Mar 2026</t>
        </is>
      </c>
      <c r="J148" t="inlineStr">
        <is>
          <t>CONFIRMED</t>
        </is>
      </c>
    </row>
    <row r="149">
      <c r="A149" s="13" t="inlineStr">
        <is>
          <t>P6-02</t>
        </is>
      </c>
      <c r="B149" t="inlineStr">
        <is>
          <t>Montgomery pair correlation RMS at L=30</t>
        </is>
      </c>
      <c r="C149" t="inlineStr">
        <is>
          <t>0.118</t>
        </is>
      </c>
      <c r="D149" t="inlineStr">
        <is>
          <t>—</t>
        </is>
      </c>
      <c r="E149" t="inlineStr">
        <is>
          <t>Paper 6</t>
        </is>
      </c>
      <c r="F149" t="inlineStr">
        <is>
          <t>A15</t>
        </is>
      </c>
      <c r="G149" t="inlineStr">
        <is>
          <t>analysis_15/</t>
        </is>
      </c>
      <c r="H149" t="inlineStr">
        <is>
          <t>Synthetic</t>
        </is>
      </c>
      <c r="I149" t="inlineStr">
        <is>
          <t>Mar 2026</t>
        </is>
      </c>
      <c r="J149" t="inlineStr">
        <is>
          <t>CONFIRMED</t>
        </is>
      </c>
    </row>
    <row r="150">
      <c r="A150" s="13" t="inlineStr">
        <is>
          <t>P6-03</t>
        </is>
      </c>
      <c r="B150" t="inlineStr">
        <is>
          <t>Riemann vs GUE baseline deviation</t>
        </is>
      </c>
      <c r="C150" t="inlineStr">
        <is>
          <t>-3.2σ below GUE</t>
        </is>
      </c>
      <c r="D150" t="inlineStr">
        <is>
          <t>100 trials</t>
        </is>
      </c>
      <c r="E150" t="inlineStr">
        <is>
          <t>Paper 6</t>
        </is>
      </c>
      <c r="F150" t="inlineStr">
        <is>
          <t>A15</t>
        </is>
      </c>
      <c r="G150" t="inlineStr">
        <is>
          <t>analysis_15/</t>
        </is>
      </c>
      <c r="H150" t="inlineStr">
        <is>
          <t>Synthetic</t>
        </is>
      </c>
      <c r="I150" t="inlineStr">
        <is>
          <t>Mar 2026</t>
        </is>
      </c>
      <c r="J150" t="inlineStr">
        <is>
          <t>CONFIRMED</t>
        </is>
      </c>
    </row>
    <row r="151">
      <c r="A151" s="13" t="inlineStr">
        <is>
          <t>P6-04</t>
        </is>
      </c>
      <c r="B151" t="inlineStr">
        <is>
          <t>M vs GUE baseline deviation at L=30</t>
        </is>
      </c>
      <c r="C151" t="inlineStr">
        <is>
          <t>+5.5σ above GUE</t>
        </is>
      </c>
      <c r="D151" t="inlineStr">
        <is>
          <t>100 trials</t>
        </is>
      </c>
      <c r="E151" t="inlineStr">
        <is>
          <t>Paper 6</t>
        </is>
      </c>
      <c r="F151" t="inlineStr">
        <is>
          <t>A15</t>
        </is>
      </c>
      <c r="G151" t="inlineStr">
        <is>
          <t>analysis_15/</t>
        </is>
      </c>
      <c r="H151" t="inlineStr">
        <is>
          <t>Synthetic</t>
        </is>
      </c>
      <c r="I151" t="inlineStr">
        <is>
          <t>Mar 2026</t>
        </is>
      </c>
      <c r="J151" t="inlineStr">
        <is>
          <t>CONFIRMED</t>
        </is>
      </c>
    </row>
    <row r="152">
      <c r="A152" s="13" t="inlineStr">
        <is>
          <t>P6-05</t>
        </is>
      </c>
      <c r="B152" t="inlineStr">
        <is>
          <t>Dedekind zeta improvement (M fits ζ_{Q(ω)} better)</t>
        </is>
      </c>
      <c r="C152" t="inlineStr">
        <is>
          <t>28.4% better</t>
        </is>
      </c>
      <c r="D152" t="inlineStr">
        <is>
          <t>RMS 0.0362 vs 0.0506</t>
        </is>
      </c>
      <c r="E152" t="inlineStr">
        <is>
          <t>Paper 6</t>
        </is>
      </c>
      <c r="F152" t="inlineStr">
        <is>
          <t>A16</t>
        </is>
      </c>
      <c r="G152" t="inlineStr">
        <is>
          <t>analysis_16/</t>
        </is>
      </c>
      <c r="H152" t="inlineStr">
        <is>
          <t>Synthetic</t>
        </is>
      </c>
      <c r="I152" t="inlineStr">
        <is>
          <t>Mar 2026</t>
        </is>
      </c>
      <c r="J152" t="inlineStr">
        <is>
          <t>CONFIRMED</t>
        </is>
      </c>
    </row>
    <row r="153">
      <c r="A153" s="13" t="inlineStr">
        <is>
          <t>P6-06</t>
        </is>
      </c>
      <c r="B153" t="inlineStr">
        <is>
          <t>Coxeter standing-wave: L mod 12 = {0,6} gives GUE</t>
        </is>
      </c>
      <c r="C153" t="inlineStr">
        <is>
          <t>L mod 12 pattern</t>
        </is>
      </c>
      <c r="D153" t="inlineStr">
        <is>
          <t>—</t>
        </is>
      </c>
      <c r="E153" t="inlineStr">
        <is>
          <t>Paper 6</t>
        </is>
      </c>
      <c r="F153" t="inlineStr">
        <is>
          <t>A18</t>
        </is>
      </c>
      <c r="G153" t="inlineStr">
        <is>
          <t>analysis_18/</t>
        </is>
      </c>
      <c r="H153" t="inlineStr">
        <is>
          <t>Synthetic</t>
        </is>
      </c>
      <c r="I153" t="inlineStr">
        <is>
          <t>Mar 2026</t>
        </is>
      </c>
      <c r="J153" t="inlineStr">
        <is>
          <t>CONFIRMED</t>
        </is>
      </c>
    </row>
    <row r="154">
      <c r="A154" s="13" t="inlineStr">
        <is>
          <t>P6-07</t>
        </is>
      </c>
      <c r="B154" t="inlineStr">
        <is>
          <t>Lyapunov exponent (λ = 0 exactly, not chaotic)</t>
        </is>
      </c>
      <c r="C154" t="inlineStr">
        <is>
          <t>0</t>
        </is>
      </c>
      <c r="D154" t="inlineStr">
        <is>
          <t>exact</t>
        </is>
      </c>
      <c r="E154" t="inlineStr">
        <is>
          <t>Paper 6</t>
        </is>
      </c>
      <c r="F154" t="inlineStr">
        <is>
          <t>A22</t>
        </is>
      </c>
      <c r="G154" t="inlineStr">
        <is>
          <t>analysis_22/</t>
        </is>
      </c>
      <c r="H154" t="inlineStr">
        <is>
          <t>Synthetic</t>
        </is>
      </c>
      <c r="I154" t="inlineStr">
        <is>
          <t>Mar 2026</t>
        </is>
      </c>
      <c r="J154" t="inlineStr">
        <is>
          <t>CONFIRMED</t>
        </is>
      </c>
    </row>
    <row r="155">
      <c r="A155" s="13" t="inlineStr">
        <is>
          <t>P6-08</t>
        </is>
      </c>
      <c r="B155" t="inlineStr">
        <is>
          <t>α⁻¹ = 137.036 from E₆ integers (Route C)</t>
        </is>
      </c>
      <c r="C155" t="inlineStr">
        <is>
          <t>137.036</t>
        </is>
      </c>
      <c r="D155" t="inlineStr">
        <is>
          <t>—</t>
        </is>
      </c>
      <c r="E155" t="inlineStr">
        <is>
          <t>Paper 6</t>
        </is>
      </c>
      <c r="F155" t="inlineStr">
        <is>
          <t>A24</t>
        </is>
      </c>
      <c r="G155" t="inlineStr">
        <is>
          <t>analysis_24/</t>
        </is>
      </c>
      <c r="H155" t="inlineStr">
        <is>
          <t>Synthetic</t>
        </is>
      </c>
      <c r="I155" t="inlineStr">
        <is>
          <t>Mar 2026</t>
        </is>
      </c>
      <c r="J155" t="inlineStr">
        <is>
          <t>CONFIRMED</t>
        </is>
      </c>
    </row>
    <row r="156">
      <c r="A156" s="13" t="inlineStr">
        <is>
          <t>P6-09</t>
        </is>
      </c>
      <c r="B156" t="inlineStr">
        <is>
          <t>F-connection pos_frac (Δ = 0.0016 at r=10)</t>
        </is>
      </c>
      <c r="C156" t="inlineStr">
        <is>
          <t>0.36129</t>
        </is>
      </c>
      <c r="D156" t="inlineStr">
        <is>
          <t>—</t>
        </is>
      </c>
      <c r="E156" t="inlineStr">
        <is>
          <t>Paper 6</t>
        </is>
      </c>
      <c r="F156" t="inlineStr">
        <is>
          <t>A30</t>
        </is>
      </c>
      <c r="G156" t="inlineStr">
        <is>
          <t>analysis_30/</t>
        </is>
      </c>
      <c r="H156" t="inlineStr">
        <is>
          <t>Synthetic</t>
        </is>
      </c>
      <c r="I156" t="inlineStr">
        <is>
          <t>Mar 2026</t>
        </is>
      </c>
      <c r="J156" t="inlineStr">
        <is>
          <t>CONFIRMED</t>
        </is>
      </c>
    </row>
    <row r="157"/>
    <row r="158"/>
    <row r="159">
      <c r="A159" s="12" t="inlineStr">
        <is>
          <t>PAPER 7 — RIEMANN ZEROES &amp; TRANSFER MATRIX (Mar 2026)</t>
        </is>
      </c>
    </row>
    <row r="160"/>
    <row r="161">
      <c r="A161" s="13" t="inlineStr">
        <is>
          <t>P7-01</t>
        </is>
      </c>
      <c r="B161" t="inlineStr">
        <is>
          <t>Truncated zeta zeros: min|σ − 1/2| at n_max=10000</t>
        </is>
      </c>
      <c r="C161" t="inlineStr">
        <is>
          <t>0.001574</t>
        </is>
      </c>
      <c r="D161" t="inlineStr">
        <is>
          <t>zero #96</t>
        </is>
      </c>
      <c r="E161" t="inlineStr">
        <is>
          <t>Paper 7</t>
        </is>
      </c>
      <c r="F161" t="inlineStr">
        <is>
          <t>A39</t>
        </is>
      </c>
      <c r="G161" t="inlineStr">
        <is>
          <t>triangle_transfer.py</t>
        </is>
      </c>
      <c r="H161" t="inlineStr">
        <is>
          <t>Synthetic</t>
        </is>
      </c>
      <c r="I161" t="inlineStr">
        <is>
          <t>Mar 2026</t>
        </is>
      </c>
      <c r="J161" t="inlineStr">
        <is>
          <t>CONFIRMED</t>
        </is>
      </c>
    </row>
    <row r="162">
      <c r="A162" s="13" t="inlineStr">
        <is>
          <t>P7-02</t>
        </is>
      </c>
      <c r="B162" t="inlineStr">
        <is>
          <t>Triangular sublattice spectral class (L≥18)</t>
        </is>
      </c>
      <c r="C162" t="inlineStr">
        <is>
          <t>Poisson</t>
        </is>
      </c>
      <c r="D162" t="inlineStr">
        <is>
          <t>all 4 locking conditions prevent GUE</t>
        </is>
      </c>
      <c r="E162" t="inlineStr">
        <is>
          <t>Paper 7</t>
        </is>
      </c>
      <c r="F162" t="inlineStr">
        <is>
          <t>A39</t>
        </is>
      </c>
      <c r="G162" t="inlineStr">
        <is>
          <t>triangle_transfer.py</t>
        </is>
      </c>
      <c r="H162" t="inlineStr">
        <is>
          <t>Synthetic</t>
        </is>
      </c>
      <c r="I162" t="inlineStr">
        <is>
          <t>Mar 2026</t>
        </is>
      </c>
      <c r="J162" t="inlineStr">
        <is>
          <t>CONFIRMED</t>
        </is>
      </c>
    </row>
    <row r="163">
      <c r="A163" s="13" t="inlineStr">
        <is>
          <t>P7-03</t>
        </is>
      </c>
      <c r="B163" t="inlineStr">
        <is>
          <t>Matched zeros to known Riemann zeros</t>
        </is>
      </c>
      <c r="C163" t="inlineStr">
        <is>
          <t>29/29 matched</t>
        </is>
      </c>
      <c r="D163" t="inlineStr">
        <is>
          <t>KS(Riemann) = 0.107, p = 0.998</t>
        </is>
      </c>
      <c r="E163" t="inlineStr">
        <is>
          <t>Paper 7</t>
        </is>
      </c>
      <c r="F163" t="inlineStr">
        <is>
          <t>A40</t>
        </is>
      </c>
      <c r="G163" t="inlineStr">
        <is>
          <t>analysis_40_filtered_spacings.py</t>
        </is>
      </c>
      <c r="H163" t="inlineStr">
        <is>
          <t>Synthetic</t>
        </is>
      </c>
      <c r="I163" t="inlineStr">
        <is>
          <t>Mar 2026</t>
        </is>
      </c>
      <c r="J163" t="inlineStr">
        <is>
          <t>CONFIRMED</t>
        </is>
      </c>
    </row>
    <row r="164">
      <c r="A164" s="13" t="inlineStr">
        <is>
          <t>P7-04</t>
        </is>
      </c>
      <c r="B164" t="inlineStr">
        <is>
          <t>Riemann ground truth RMS(Montgomery)</t>
        </is>
      </c>
      <c r="C164" t="inlineStr">
        <is>
          <t>0.0808</t>
        </is>
      </c>
      <c r="D164" t="inlineStr">
        <is>
          <t>—</t>
        </is>
      </c>
      <c r="E164" t="inlineStr">
        <is>
          <t>Paper 7</t>
        </is>
      </c>
      <c r="F164" t="inlineStr">
        <is>
          <t>A40</t>
        </is>
      </c>
      <c r="G164" t="inlineStr">
        <is>
          <t>analysis_40_filtered_spacings.py</t>
        </is>
      </c>
      <c r="H164" t="inlineStr">
        <is>
          <t>Synthetic</t>
        </is>
      </c>
      <c r="I164" t="inlineStr">
        <is>
          <t>Mar 2026</t>
        </is>
      </c>
      <c r="J164" t="inlineStr">
        <is>
          <t>CONFIRMED</t>
        </is>
      </c>
    </row>
    <row r="165"/>
    <row r="166"/>
    <row r="167">
      <c r="A167" s="12" t="inlineStr">
        <is>
          <t>PAPER 8 — KLEIN QUARTIC &amp; ROUTE B (Mar 2026)</t>
        </is>
      </c>
    </row>
    <row r="168"/>
    <row r="169">
      <c r="A169" s="13" t="inlineStr">
        <is>
          <t>P8-01</t>
        </is>
      </c>
      <c r="B169" t="inlineStr">
        <is>
          <t>Theta characteristics: 28 odd (bitangents) + 36 even = 64</t>
        </is>
      </c>
      <c r="C169" t="inlineStr">
        <is>
          <t>64 total</t>
        </is>
      </c>
      <c r="D169" t="inlineStr">
        <is>
          <t>—</t>
        </is>
      </c>
      <c r="E169" t="inlineStr">
        <is>
          <t>Paper 8</t>
        </is>
      </c>
      <c r="F169" t="inlineStr">
        <is>
          <t>2.1</t>
        </is>
      </c>
      <c r="G169" t="inlineStr">
        <is>
          <t>klein_quartic_analysis.py</t>
        </is>
      </c>
      <c r="H169" t="inlineStr">
        <is>
          <t>Synthetic</t>
        </is>
      </c>
      <c r="I169" t="inlineStr">
        <is>
          <t>Mar 2026</t>
        </is>
      </c>
      <c r="J169" t="inlineStr">
        <is>
          <t>CONFIRMED</t>
        </is>
      </c>
    </row>
    <row r="170">
      <c r="A170" s="13" t="inlineStr">
        <is>
          <t>P8-02</t>
        </is>
      </c>
      <c r="B170" t="inlineStr">
        <is>
          <t>PSL(2,7) action on 28 bitangents: TRANSITIVE</t>
        </is>
      </c>
      <c r="C170" t="inlineStr">
        <is>
          <t>stabiliser order 6 = S₃</t>
        </is>
      </c>
      <c r="D170" t="inlineStr">
        <is>
          <t>—</t>
        </is>
      </c>
      <c r="E170" t="inlineStr">
        <is>
          <t>Paper 8</t>
        </is>
      </c>
      <c r="F170" t="inlineStr">
        <is>
          <t>2.2</t>
        </is>
      </c>
      <c r="G170" t="inlineStr">
        <is>
          <t>klein_quartic_analysis.py</t>
        </is>
      </c>
      <c r="H170" t="inlineStr">
        <is>
          <t>Synthetic</t>
        </is>
      </c>
      <c r="I170" t="inlineStr">
        <is>
          <t>Mar 2026</t>
        </is>
      </c>
      <c r="J170" t="inlineStr">
        <is>
          <t>CONFIRMED</t>
        </is>
      </c>
    </row>
    <row r="171">
      <c r="A171" s="13" t="inlineStr">
        <is>
          <t>P8-03</t>
        </is>
      </c>
      <c r="B171" t="inlineStr">
        <is>
          <t>Azygetic graph: srg(28,12,6,4) ≅ T(8) = L(K₈)</t>
        </is>
      </c>
      <c r="C171" t="inlineStr">
        <is>
          <t>eigenvalues {12, 4, -2}</t>
        </is>
      </c>
      <c r="D171" t="inlineStr">
        <is>
          <t>mults {1, 7, 20}</t>
        </is>
      </c>
      <c r="E171" t="inlineStr">
        <is>
          <t>Paper 8</t>
        </is>
      </c>
      <c r="F171" t="inlineStr">
        <is>
          <t>2.3</t>
        </is>
      </c>
      <c r="G171" t="inlineStr">
        <is>
          <t>azygetic_graph.py</t>
        </is>
      </c>
      <c r="H171" t="inlineStr">
        <is>
          <t>Synthetic</t>
        </is>
      </c>
      <c r="I171" t="inlineStr">
        <is>
          <t>Mar 2026</t>
        </is>
      </c>
      <c r="J171" t="inlineStr">
        <is>
          <t>CONFIRMED</t>
        </is>
      </c>
    </row>
    <row r="172">
      <c r="A172" s="13" t="inlineStr">
        <is>
          <t>P8-04</t>
        </is>
      </c>
      <c r="B172" t="inlineStr">
        <is>
          <t>Route B: α⁻¹ = N(12+5ω) + dim(D₄) = 109 + 28 = 137</t>
        </is>
      </c>
      <c r="C172" t="inlineStr">
        <is>
          <t>137</t>
        </is>
      </c>
      <c r="D172" t="inlineStr">
        <is>
          <t>exact</t>
        </is>
      </c>
      <c r="E172" t="inlineStr">
        <is>
          <t>Paper 8</t>
        </is>
      </c>
      <c r="F172" t="inlineStr">
        <is>
          <t>3.1</t>
        </is>
      </c>
      <c r="G172" t="inlineStr">
        <is>
          <t>route_b_justification.py</t>
        </is>
      </c>
      <c r="H172" t="inlineStr">
        <is>
          <t>Synthetic</t>
        </is>
      </c>
      <c r="I172" t="inlineStr">
        <is>
          <t>Mar 2026</t>
        </is>
      </c>
      <c r="J172" t="inlineStr">
        <is>
          <t>CONFIRMED</t>
        </is>
      </c>
    </row>
    <row r="173">
      <c r="A173" s="13" t="inlineStr">
        <is>
          <t>P8-05</t>
        </is>
      </c>
      <c r="B173" t="inlineStr">
        <is>
          <t>Azygetic pairs = 168 = |PSL(2,7)|</t>
        </is>
      </c>
      <c r="C173" t="inlineStr">
        <is>
          <t>168</t>
        </is>
      </c>
      <c r="D173" t="inlineStr">
        <is>
          <t>exact</t>
        </is>
      </c>
      <c r="E173" t="inlineStr">
        <is>
          <t>Paper 8</t>
        </is>
      </c>
      <c r="F173" t="inlineStr">
        <is>
          <t>2.3</t>
        </is>
      </c>
      <c r="G173" t="inlineStr">
        <is>
          <t>azygetic_graph.py</t>
        </is>
      </c>
      <c r="H173" t="inlineStr">
        <is>
          <t>Synthetic</t>
        </is>
      </c>
      <c r="I173" t="inlineStr">
        <is>
          <t>Mar 2026</t>
        </is>
      </c>
      <c r="J173" t="inlineStr">
        <is>
          <t>CONFIRMED</t>
        </is>
      </c>
    </row>
    <row r="174">
      <c r="A174" s="13" t="inlineStr">
        <is>
          <t>P8-06</t>
        </is>
      </c>
      <c r="B174" t="inlineStr">
        <is>
          <t>Cyclotomic unification: ternary Golay (E₆) and binary Golay (E₈) in Q(ζ₂₁)</t>
        </is>
      </c>
      <c r="C174" t="inlineStr">
        <is>
          <t>Q(ζ₂₁)</t>
        </is>
      </c>
      <c r="D174" t="inlineStr">
        <is>
          <t>—</t>
        </is>
      </c>
      <c r="E174" t="inlineStr">
        <is>
          <t>Paper 8</t>
        </is>
      </c>
      <c r="F174" t="inlineStr">
        <is>
          <t>4.1</t>
        </is>
      </c>
      <c r="G174" t="inlineStr">
        <is>
          <t>cyclotomic_analysis.py</t>
        </is>
      </c>
      <c r="H174" t="inlineStr">
        <is>
          <t>Synthetic</t>
        </is>
      </c>
      <c r="I174" t="inlineStr">
        <is>
          <t>Mar 2026</t>
        </is>
      </c>
      <c r="J174" t="inlineStr">
        <is>
          <t>CONFIRMED</t>
        </is>
      </c>
    </row>
    <row r="175"/>
    <row r="176"/>
    <row r="177">
      <c r="A177" s="12" t="inlineStr">
        <is>
          <t>PAPER 9 — YANG-MILLS MASS GAP &amp; GLUEBALL SPECTRUM (Mar 2026)</t>
        </is>
      </c>
    </row>
    <row r="178"/>
    <row r="179">
      <c r="A179" s="13" t="inlineStr">
        <is>
          <t>P9-01</t>
        </is>
      </c>
      <c r="B179" t="inlineStr">
        <is>
          <t>Glueball 0++ mass = v/h² = 246.22/144</t>
        </is>
      </c>
      <c r="C179" t="inlineStr">
        <is>
          <t>1.7099 GeV</t>
        </is>
      </c>
      <c r="D179" t="inlineStr">
        <is>
          <t>lattice 1.710±0.050, 0.01%</t>
        </is>
      </c>
      <c r="E179" t="inlineStr">
        <is>
          <t>Paper 9</t>
        </is>
      </c>
      <c r="F179" t="inlineStr">
        <is>
          <t>3.1</t>
        </is>
      </c>
      <c r="G179" t="inlineStr">
        <is>
          <t>yang_mills_glueball_spectrum.py</t>
        </is>
      </c>
      <c r="H179" t="inlineStr">
        <is>
          <t>Synthetic</t>
        </is>
      </c>
      <c r="I179" t="inlineStr">
        <is>
          <t>Mar 2026</t>
        </is>
      </c>
      <c r="J179" t="inlineStr">
        <is>
          <t>CONFIRMED</t>
        </is>
      </c>
    </row>
    <row r="180">
      <c r="A180" s="13" t="inlineStr">
        <is>
          <t>P9-02</t>
        </is>
      </c>
      <c r="B180" t="inlineStr">
        <is>
          <t>Glueball 2++/0++ ratio</t>
        </is>
      </c>
      <c r="C180" t="inlineStr">
        <is>
          <t>1.3977</t>
        </is>
      </c>
      <c r="D180" t="inlineStr">
        <is>
          <t>√2 = 1.414, 1.2%</t>
        </is>
      </c>
      <c r="E180" t="inlineStr">
        <is>
          <t>Paper 9</t>
        </is>
      </c>
      <c r="F180" t="inlineStr">
        <is>
          <t>3.2</t>
        </is>
      </c>
      <c r="G180" t="inlineStr">
        <is>
          <t>yang_mills_glueball_spectrum.py</t>
        </is>
      </c>
      <c r="H180" t="inlineStr">
        <is>
          <t>Synthetic</t>
        </is>
      </c>
      <c r="I180" t="inlineStr">
        <is>
          <t>Mar 2026</t>
        </is>
      </c>
      <c r="J180" t="inlineStr">
        <is>
          <t>CONFIRMED</t>
        </is>
      </c>
    </row>
    <row r="181">
      <c r="A181" s="13" t="inlineStr">
        <is>
          <t>P9-03</t>
        </is>
      </c>
      <c r="B181" t="inlineStr">
        <is>
          <t>Glueball 0-+/0++ ratio</t>
        </is>
      </c>
      <c r="C181" t="inlineStr">
        <is>
          <t>1.4971</t>
        </is>
      </c>
      <c r="D181" t="inlineStr">
        <is>
          <t>3/2, 0.2%</t>
        </is>
      </c>
      <c r="E181" t="inlineStr">
        <is>
          <t>Paper 9</t>
        </is>
      </c>
      <c r="F181" t="inlineStr">
        <is>
          <t>3.2</t>
        </is>
      </c>
      <c r="G181" t="inlineStr">
        <is>
          <t>yang_mills_glueball_spectrum.py</t>
        </is>
      </c>
      <c r="H181" t="inlineStr">
        <is>
          <t>Synthetic</t>
        </is>
      </c>
      <c r="I181" t="inlineStr">
        <is>
          <t>Mar 2026</t>
        </is>
      </c>
      <c r="J181" t="inlineStr">
        <is>
          <t>CONFIRMED</t>
        </is>
      </c>
    </row>
    <row r="182">
      <c r="A182" s="13" t="inlineStr">
        <is>
          <t>P9-04</t>
        </is>
      </c>
      <c r="B182" t="inlineStr">
        <is>
          <t>Glueball 1+-/0++ ratio</t>
        </is>
      </c>
      <c r="C182" t="inlineStr">
        <is>
          <t>1.7193</t>
        </is>
      </c>
      <c r="D182" t="inlineStr">
        <is>
          <t>√3 = 1.732, 0.7%</t>
        </is>
      </c>
      <c r="E182" t="inlineStr">
        <is>
          <t>Paper 9</t>
        </is>
      </c>
      <c r="F182" t="inlineStr">
        <is>
          <t>3.2</t>
        </is>
      </c>
      <c r="G182" t="inlineStr">
        <is>
          <t>yang_mills_glueball_spectrum.py</t>
        </is>
      </c>
      <c r="H182" t="inlineStr">
        <is>
          <t>Synthetic</t>
        </is>
      </c>
      <c r="I182" t="inlineStr">
        <is>
          <t>Mar 2026</t>
        </is>
      </c>
      <c r="J182" t="inlineStr">
        <is>
          <t>CONFIRMED</t>
        </is>
      </c>
    </row>
    <row r="183">
      <c r="A183" s="13" t="inlineStr">
        <is>
          <t>P9-05</t>
        </is>
      </c>
      <c r="B183" t="inlineStr">
        <is>
          <t>Associator energy = 4×168 = 672</t>
        </is>
      </c>
      <c r="C183" t="inlineStr">
        <is>
          <t>672</t>
        </is>
      </c>
      <c r="D183" t="inlineStr">
        <is>
          <t>exact</t>
        </is>
      </c>
      <c r="E183" t="inlineStr">
        <is>
          <t>Paper 9</t>
        </is>
      </c>
      <c r="F183" t="inlineStr">
        <is>
          <t>4.1</t>
        </is>
      </c>
      <c r="G183" t="inlineStr">
        <is>
          <t>yang_mills_mass_gap.py</t>
        </is>
      </c>
      <c r="H183" t="inlineStr">
        <is>
          <t>Synthetic</t>
        </is>
      </c>
      <c r="I183" t="inlineStr">
        <is>
          <t>Mar 2026</t>
        </is>
      </c>
      <c r="J183" t="inlineStr">
        <is>
          <t>CONFIRMED</t>
        </is>
      </c>
    </row>
    <row r="184">
      <c r="A184" s="13" t="inlineStr">
        <is>
          <t>P9-06</t>
        </is>
      </c>
      <c r="B184" t="inlineStr">
        <is>
          <t>672/h(E₆) = 56 = dim(E₇_fund)</t>
        </is>
      </c>
      <c r="C184" t="inlineStr">
        <is>
          <t>56</t>
        </is>
      </c>
      <c r="D184" t="inlineStr">
        <is>
          <t>exact</t>
        </is>
      </c>
      <c r="E184" t="inlineStr">
        <is>
          <t>Paper 9</t>
        </is>
      </c>
      <c r="F184" t="inlineStr">
        <is>
          <t>4.1</t>
        </is>
      </c>
      <c r="G184" t="inlineStr">
        <is>
          <t>yang_mills_mass_gap.py</t>
        </is>
      </c>
      <c r="H184" t="inlineStr">
        <is>
          <t>Synthetic</t>
        </is>
      </c>
      <c r="I184" t="inlineStr">
        <is>
          <t>Mar 2026</t>
        </is>
      </c>
      <c r="J184" t="inlineStr">
        <is>
          <t>CONFIRMED</t>
        </is>
      </c>
    </row>
    <row r="185">
      <c r="A185" s="13" t="inlineStr">
        <is>
          <t>P9-07</t>
        </is>
      </c>
      <c r="B185" t="inlineStr">
        <is>
          <t>Spectral gap scaling ~L⁻¹ (extensive)</t>
        </is>
      </c>
      <c r="C185" t="inlineStr">
        <is>
          <t>slope = -1.0305</t>
        </is>
      </c>
      <c r="D185" t="inlineStr">
        <is>
          <t>—</t>
        </is>
      </c>
      <c r="E185" t="inlineStr">
        <is>
          <t>Paper 9</t>
        </is>
      </c>
      <c r="F185" t="inlineStr">
        <is>
          <t>4.2</t>
        </is>
      </c>
      <c r="G185" t="inlineStr">
        <is>
          <t>yang_mills_mass_gap.py</t>
        </is>
      </c>
      <c r="H185" t="inlineStr">
        <is>
          <t>Synthetic</t>
        </is>
      </c>
      <c r="I185" t="inlineStr">
        <is>
          <t>Mar 2026</t>
        </is>
      </c>
      <c r="J185" t="inlineStr">
        <is>
          <t>CONFIRMED</t>
        </is>
      </c>
    </row>
    <row r="186">
      <c r="A186" s="13" t="inlineStr">
        <is>
          <t>P9-08</t>
        </is>
      </c>
      <c r="B186" t="inlineStr">
        <is>
          <t>Reflection positivity (L=6 through L=18)</t>
        </is>
      </c>
      <c r="C186" t="inlineStr">
        <is>
          <t>All PASS</t>
        </is>
      </c>
      <c r="D186" t="inlineStr">
        <is>
          <t>—</t>
        </is>
      </c>
      <c r="E186" t="inlineStr">
        <is>
          <t>Paper 9</t>
        </is>
      </c>
      <c r="F186" t="inlineStr">
        <is>
          <t>4.3</t>
        </is>
      </c>
      <c r="G186" t="inlineStr">
        <is>
          <t>yang_mills_mass_gap.py</t>
        </is>
      </c>
      <c r="H186" t="inlineStr">
        <is>
          <t>Synthetic</t>
        </is>
      </c>
      <c r="I186" t="inlineStr">
        <is>
          <t>Mar 2026</t>
        </is>
      </c>
      <c r="J186" t="inlineStr">
        <is>
          <t>CONFIRMED</t>
        </is>
      </c>
    </row>
    <row r="187">
      <c r="A187" s="13" t="inlineStr">
        <is>
          <t>P9-09</t>
        </is>
      </c>
      <c r="B187" t="inlineStr">
        <is>
          <t>Svetitsky-Yaffe: Z₃ centre symmetry, confined phase</t>
        </is>
      </c>
      <c r="C187" t="inlineStr">
        <is>
          <t>Polyakov loop = 0</t>
        </is>
      </c>
      <c r="D187" t="inlineStr">
        <is>
          <t>—</t>
        </is>
      </c>
      <c r="E187" t="inlineStr">
        <is>
          <t>Paper 9</t>
        </is>
      </c>
      <c r="F187" t="inlineStr">
        <is>
          <t>5.1</t>
        </is>
      </c>
      <c r="G187" t="inlineStr">
        <is>
          <t>svetitsky_yaffe_proof.py</t>
        </is>
      </c>
      <c r="H187" t="inlineStr">
        <is>
          <t>Synthetic</t>
        </is>
      </c>
      <c r="I187" t="inlineStr">
        <is>
          <t>Mar 2026</t>
        </is>
      </c>
      <c r="J187" t="inlineStr">
        <is>
          <t>CONFIRMED</t>
        </is>
      </c>
    </row>
    <row r="188"/>
    <row r="189"/>
    <row r="190">
      <c r="A190" s="12" t="inlineStr">
        <is>
          <t>PAPER 11 — STANDARD MODEL FROM PSL(2,7) (Mar 2026)</t>
        </is>
      </c>
    </row>
    <row r="191"/>
    <row r="192">
      <c r="A192" s="13" t="inlineStr">
        <is>
          <t>P11-01</t>
        </is>
      </c>
      <c r="B192" t="inlineStr">
        <is>
          <t>PSL(2,7) strata: B₃₁ + Z₆₂ + T₇₅ = 168</t>
        </is>
      </c>
      <c r="C192" t="inlineStr">
        <is>
          <t>31 + 62 + 75 = 168</t>
        </is>
      </c>
      <c r="D192" t="inlineStr">
        <is>
          <t>exact</t>
        </is>
      </c>
      <c r="E192" t="inlineStr">
        <is>
          <t>Paper 11</t>
        </is>
      </c>
      <c r="F192" t="inlineStr">
        <is>
          <t>2.1</t>
        </is>
      </c>
      <c r="G192" t="inlineStr">
        <is>
          <t>verify_paper11.py</t>
        </is>
      </c>
      <c r="H192" t="inlineStr">
        <is>
          <t>Synthetic</t>
        </is>
      </c>
      <c r="I192" t="inlineStr">
        <is>
          <t>Mar 2026</t>
        </is>
      </c>
      <c r="J192" t="inlineStr">
        <is>
          <t>CONFIRMED</t>
        </is>
      </c>
    </row>
    <row r="193">
      <c r="A193" s="13" t="inlineStr">
        <is>
          <t>P11-02</t>
        </is>
      </c>
      <c r="B193" t="inlineStr">
        <is>
          <t>137 = 62 + 75 (ternary-essential count)</t>
        </is>
      </c>
      <c r="C193" t="inlineStr">
        <is>
          <t>137</t>
        </is>
      </c>
      <c r="D193" t="inlineStr">
        <is>
          <t>exact</t>
        </is>
      </c>
      <c r="E193" t="inlineStr">
        <is>
          <t>Paper 11</t>
        </is>
      </c>
      <c r="F193" t="inlineStr">
        <is>
          <t>2.2</t>
        </is>
      </c>
      <c r="G193" t="inlineStr">
        <is>
          <t>verify_paper11.py</t>
        </is>
      </c>
      <c r="H193" t="inlineStr">
        <is>
          <t>Synthetic</t>
        </is>
      </c>
      <c r="I193" t="inlineStr">
        <is>
          <t>Mar 2026</t>
        </is>
      </c>
      <c r="J193" t="inlineStr">
        <is>
          <t>CONFIRMED</t>
        </is>
      </c>
    </row>
    <row r="194">
      <c r="A194" s="13" t="inlineStr">
        <is>
          <t>P11-03</t>
        </is>
      </c>
      <c r="B194" t="inlineStr">
        <is>
          <t>Eisenstein norm N(11+7ω) = 93 = 3×31</t>
        </is>
      </c>
      <c r="C194" t="inlineStr">
        <is>
          <t>93</t>
        </is>
      </c>
      <c r="D194" t="inlineStr">
        <is>
          <t>exact</t>
        </is>
      </c>
      <c r="E194" t="inlineStr">
        <is>
          <t>Paper 11</t>
        </is>
      </c>
      <c r="F194" t="inlineStr">
        <is>
          <t>3.1</t>
        </is>
      </c>
      <c r="G194" t="inlineStr">
        <is>
          <t>verify_paper11.py</t>
        </is>
      </c>
      <c r="H194" t="inlineStr">
        <is>
          <t>Synthetic</t>
        </is>
      </c>
      <c r="I194" t="inlineStr">
        <is>
          <t>Mar 2026</t>
        </is>
      </c>
      <c r="J194" t="inlineStr">
        <is>
          <t>CONFIRMED</t>
        </is>
      </c>
    </row>
    <row r="195">
      <c r="A195" s="13" t="inlineStr">
        <is>
          <t>P11-04</t>
        </is>
      </c>
      <c r="B195" t="inlineStr">
        <is>
          <t>Fano core |T₇₅ ∩ order-7| = 12 = h(E₆)</t>
        </is>
      </c>
      <c r="C195" t="inlineStr">
        <is>
          <t>12</t>
        </is>
      </c>
      <c r="D195" t="inlineStr">
        <is>
          <t>exact</t>
        </is>
      </c>
      <c r="E195" t="inlineStr">
        <is>
          <t>Paper 11</t>
        </is>
      </c>
      <c r="F195" t="inlineStr">
        <is>
          <t>3.2</t>
        </is>
      </c>
      <c r="G195" t="inlineStr">
        <is>
          <t>verify_paper11.py</t>
        </is>
      </c>
      <c r="H195" t="inlineStr">
        <is>
          <t>Synthetic</t>
        </is>
      </c>
      <c r="I195" t="inlineStr">
        <is>
          <t>Mar 2026</t>
        </is>
      </c>
      <c r="J195" t="inlineStr">
        <is>
          <t>CONFIRMED</t>
        </is>
      </c>
    </row>
    <row r="196">
      <c r="A196" s="13" t="inlineStr">
        <is>
          <t>P11-05</t>
        </is>
      </c>
      <c r="B196" t="inlineStr">
        <is>
          <t>Z₃-boundary order-7 count = 36 = n₊(E₆) positive roots</t>
        </is>
      </c>
      <c r="C196" t="inlineStr">
        <is>
          <t>36</t>
        </is>
      </c>
      <c r="D196" t="inlineStr">
        <is>
          <t>exact</t>
        </is>
      </c>
      <c r="E196" t="inlineStr">
        <is>
          <t>Paper 11</t>
        </is>
      </c>
      <c r="F196" t="inlineStr">
        <is>
          <t>3.3</t>
        </is>
      </c>
      <c r="G196" t="inlineStr">
        <is>
          <t>verify_paper11.py</t>
        </is>
      </c>
      <c r="H196" t="inlineStr">
        <is>
          <t>Synthetic</t>
        </is>
      </c>
      <c r="I196" t="inlineStr">
        <is>
          <t>Mar 2026</t>
        </is>
      </c>
      <c r="J196" t="inlineStr">
        <is>
          <t>CONFIRMED</t>
        </is>
      </c>
    </row>
    <row r="197">
      <c r="A197" s="13" t="inlineStr">
        <is>
          <t>P11-06</t>
        </is>
      </c>
      <c r="B197" t="inlineStr">
        <is>
          <t>Universal S₃ stabiliser preserves all 3 strata</t>
        </is>
      </c>
      <c r="C197" t="inlineStr">
        <is>
          <t>order 6</t>
        </is>
      </c>
      <c r="D197" t="inlineStr">
        <is>
          <t>—</t>
        </is>
      </c>
      <c r="E197" t="inlineStr">
        <is>
          <t>Paper 11</t>
        </is>
      </c>
      <c r="F197" t="inlineStr">
        <is>
          <t>4.1</t>
        </is>
      </c>
      <c r="G197" t="inlineStr">
        <is>
          <t>verify_paper11.py</t>
        </is>
      </c>
      <c r="H197" t="inlineStr">
        <is>
          <t>Synthetic</t>
        </is>
      </c>
      <c r="I197" t="inlineStr">
        <is>
          <t>Mar 2026</t>
        </is>
      </c>
      <c r="J197" t="inlineStr">
        <is>
          <t>CONFIRMED</t>
        </is>
      </c>
    </row>
    <row r="198">
      <c r="A198" s="13" t="inlineStr">
        <is>
          <t>P11-07</t>
        </is>
      </c>
      <c r="B198" t="inlineStr">
        <is>
          <t>21 involutions preserve the 26 (all zero fixed points)</t>
        </is>
      </c>
      <c r="C198" t="inlineStr">
        <is>
          <t>21</t>
        </is>
      </c>
      <c r="D198" t="inlineStr">
        <is>
          <t>—</t>
        </is>
      </c>
      <c r="E198" t="inlineStr">
        <is>
          <t>Paper 11</t>
        </is>
      </c>
      <c r="F198" t="inlineStr">
        <is>
          <t>4.2</t>
        </is>
      </c>
      <c r="G198" t="inlineStr">
        <is>
          <t>check_involution_claim.py</t>
        </is>
      </c>
      <c r="H198" t="inlineStr">
        <is>
          <t>Synthetic</t>
        </is>
      </c>
      <c r="I198" t="inlineStr">
        <is>
          <t>Mar 2026</t>
        </is>
      </c>
      <c r="J198" t="inlineStr">
        <is>
          <t>CONFIRMED</t>
        </is>
      </c>
    </row>
    <row r="199"/>
    <row r="200"/>
    <row r="201">
      <c r="A201" s="12" t="inlineStr">
        <is>
          <t>PAPER 12 — W BOSON AS ALGEBRAIC INVERSION (Mar 2026)</t>
        </is>
      </c>
    </row>
    <row r="202"/>
    <row r="203">
      <c r="A203" s="13" t="inlineStr">
        <is>
          <t>P12-01</t>
        </is>
      </c>
      <c r="B203" t="inlineStr">
        <is>
          <t>m_W/v = [N_c(h+4)-1]/h² = 47/144</t>
        </is>
      </c>
      <c r="C203" t="inlineStr">
        <is>
          <t>0.32644</t>
        </is>
      </c>
      <c r="D203" t="inlineStr">
        <is>
          <t>measured 0.32645, 0.017%</t>
        </is>
      </c>
      <c r="E203" t="inlineStr">
        <is>
          <t>Paper 12</t>
        </is>
      </c>
      <c r="F203" t="inlineStr">
        <is>
          <t>2.1</t>
        </is>
      </c>
      <c r="G203" t="inlineStr">
        <is>
          <t>paper12_verification.py</t>
        </is>
      </c>
      <c r="H203" t="inlineStr">
        <is>
          <t>Synthetic</t>
        </is>
      </c>
      <c r="I203" t="inlineStr">
        <is>
          <t>Mar 2026</t>
        </is>
      </c>
      <c r="J203" t="inlineStr">
        <is>
          <t>CONFIRMED</t>
        </is>
      </c>
    </row>
    <row r="204">
      <c r="A204" s="13" t="inlineStr">
        <is>
          <t>P12-02</t>
        </is>
      </c>
      <c r="B204" t="inlineStr">
        <is>
          <t>47 decomposition: N_c(h+1) + dim(SU(3)) = 3(13)+8</t>
        </is>
      </c>
      <c r="C204" t="inlineStr">
        <is>
          <t>47</t>
        </is>
      </c>
      <c r="D204" t="inlineStr">
        <is>
          <t>exact</t>
        </is>
      </c>
      <c r="E204" t="inlineStr">
        <is>
          <t>Paper 12</t>
        </is>
      </c>
      <c r="F204" t="inlineStr">
        <is>
          <t>2.2</t>
        </is>
      </c>
      <c r="G204" t="inlineStr">
        <is>
          <t>paper12_verification.py</t>
        </is>
      </c>
      <c r="H204" t="inlineStr">
        <is>
          <t>Synthetic</t>
        </is>
      </c>
      <c r="I204" t="inlineStr">
        <is>
          <t>Mar 2026</t>
        </is>
      </c>
      <c r="J204" t="inlineStr">
        <is>
          <t>CONFIRMED</t>
        </is>
      </c>
    </row>
    <row r="205">
      <c r="A205" s="13" t="inlineStr">
        <is>
          <t>P12-03</t>
        </is>
      </c>
      <c r="B205" t="inlineStr">
        <is>
          <t>Weinberg 26: all order-3 Z₃-boundary have Fano cycle type (3,3,1)</t>
        </is>
      </c>
      <c r="C205" t="inlineStr">
        <is>
          <t>26 elements</t>
        </is>
      </c>
      <c r="D205" t="inlineStr">
        <is>
          <t>PROVED (Theorem 1)</t>
        </is>
      </c>
      <c r="E205" t="inlineStr">
        <is>
          <t>Paper 12</t>
        </is>
      </c>
      <c r="F205" t="inlineStr">
        <is>
          <t>3.1</t>
        </is>
      </c>
      <c r="G205" t="inlineStr">
        <is>
          <t>geometry_26.py</t>
        </is>
      </c>
      <c r="H205" t="inlineStr">
        <is>
          <t>Synthetic</t>
        </is>
      </c>
      <c r="I205" t="inlineStr">
        <is>
          <t>Mar 2026</t>
        </is>
      </c>
      <c r="J205" t="inlineStr">
        <is>
          <t>CONFIRMED</t>
        </is>
      </c>
    </row>
    <row r="206">
      <c r="A206" s="13" t="inlineStr">
        <is>
          <t>P12-04</t>
        </is>
      </c>
      <c r="B206" t="inlineStr">
        <is>
          <t>Charge conjugation 13+13 split (unique involution)</t>
        </is>
      </c>
      <c r="C206" t="inlineStr">
        <is>
          <t>13/13</t>
        </is>
      </c>
      <c r="D206" t="inlineStr">
        <is>
          <t>PROVED (Theorem 2)</t>
        </is>
      </c>
      <c r="E206" t="inlineStr">
        <is>
          <t>Paper 12</t>
        </is>
      </c>
      <c r="F206" t="inlineStr">
        <is>
          <t>3.2</t>
        </is>
      </c>
      <c r="G206" t="inlineStr">
        <is>
          <t>geometry_26.py</t>
        </is>
      </c>
      <c r="H206" t="inlineStr">
        <is>
          <t>Synthetic</t>
        </is>
      </c>
      <c r="I206" t="inlineStr">
        <is>
          <t>Mar 2026</t>
        </is>
      </c>
      <c r="J206" t="inlineStr">
        <is>
          <t>CONFIRMED</t>
        </is>
      </c>
    </row>
    <row r="207"/>
    <row r="208"/>
    <row r="209">
      <c r="A209" s="12" t="inlineStr">
        <is>
          <t>PAPER 13 — GAUGE GROUP FROM E₆ (Mar 2026)</t>
        </is>
      </c>
    </row>
    <row r="210"/>
    <row r="211">
      <c r="A211" s="13" t="inlineStr">
        <is>
          <t>P13-01</t>
        </is>
      </c>
      <c r="B211" t="inlineStr">
        <is>
          <t>sin²(θ_W) = 3/13</t>
        </is>
      </c>
      <c r="C211" t="inlineStr">
        <is>
          <t>0.23077</t>
        </is>
      </c>
      <c r="D211" t="inlineStr">
        <is>
          <t>PDG 0.23122, 0.19%</t>
        </is>
      </c>
      <c r="E211" t="inlineStr">
        <is>
          <t>Paper 13</t>
        </is>
      </c>
      <c r="F211" t="inlineStr">
        <is>
          <t>2.1</t>
        </is>
      </c>
      <c r="G211" t="inlineStr">
        <is>
          <t>spectral_gaps.py</t>
        </is>
      </c>
      <c r="H211" t="inlineStr">
        <is>
          <t>Synthetic</t>
        </is>
      </c>
      <c r="I211" t="inlineStr">
        <is>
          <t>Mar 2026</t>
        </is>
      </c>
      <c r="J211" t="inlineStr">
        <is>
          <t>CONFIRMED</t>
        </is>
      </c>
    </row>
    <row r="212">
      <c r="A212" s="13" t="inlineStr">
        <is>
          <t>P13-02</t>
        </is>
      </c>
      <c r="B212" t="inlineStr">
        <is>
          <t>m_W = 47v/144</t>
        </is>
      </c>
      <c r="C212" t="inlineStr">
        <is>
          <t>80.36 GeV</t>
        </is>
      </c>
      <c r="D212" t="inlineStr">
        <is>
          <t>PDG 80.377 GeV, 0.017%</t>
        </is>
      </c>
      <c r="E212" t="inlineStr">
        <is>
          <t>Paper 13</t>
        </is>
      </c>
      <c r="F212" t="inlineStr">
        <is>
          <t>2.2</t>
        </is>
      </c>
      <c r="G212" t="inlineStr">
        <is>
          <t>spectral_gaps.py</t>
        </is>
      </c>
      <c r="H212" t="inlineStr">
        <is>
          <t>Synthetic</t>
        </is>
      </c>
      <c r="I212" t="inlineStr">
        <is>
          <t>Mar 2026</t>
        </is>
      </c>
      <c r="J212" t="inlineStr">
        <is>
          <t>CONFIRMED</t>
        </is>
      </c>
    </row>
    <row r="213">
      <c r="A213" s="13" t="inlineStr">
        <is>
          <t>P13-03</t>
        </is>
      </c>
      <c r="B213" t="inlineStr">
        <is>
          <t>m_Z = 47v√13/(144√10)</t>
        </is>
      </c>
      <c r="C213" t="inlineStr">
        <is>
          <t>91.63 GeV</t>
        </is>
      </c>
      <c r="D213" t="inlineStr">
        <is>
          <t>PDG 91.19 GeV, 0.48%</t>
        </is>
      </c>
      <c r="E213" t="inlineStr">
        <is>
          <t>Paper 13</t>
        </is>
      </c>
      <c r="F213" t="inlineStr">
        <is>
          <t>2.3</t>
        </is>
      </c>
      <c r="G213" t="inlineStr">
        <is>
          <t>spectral_gaps.py</t>
        </is>
      </c>
      <c r="H213" t="inlineStr">
        <is>
          <t>Synthetic</t>
        </is>
      </c>
      <c r="I213" t="inlineStr">
        <is>
          <t>Mar 2026</t>
        </is>
      </c>
      <c r="J213" t="inlineStr">
        <is>
          <t>CONFIRMED</t>
        </is>
      </c>
    </row>
    <row r="214">
      <c r="A214" s="13" t="inlineStr">
        <is>
          <t>P13-04</t>
        </is>
      </c>
      <c r="B214" t="inlineStr">
        <is>
          <t>α⁻¹ (three-rung E₆/B₆/C₆)</t>
        </is>
      </c>
      <c r="C214" t="inlineStr">
        <is>
          <t>137.035999084</t>
        </is>
      </c>
      <c r="D214" t="inlineStr">
        <is>
          <t>CODATA 137.035999166, 0.007 ppb</t>
        </is>
      </c>
      <c r="E214" t="inlineStr">
        <is>
          <t>Paper 13</t>
        </is>
      </c>
      <c r="F214" t="inlineStr">
        <is>
          <t>3.1</t>
        </is>
      </c>
      <c r="G214" t="inlineStr">
        <is>
          <t>resolve_inconsistency.py</t>
        </is>
      </c>
      <c r="H214" t="inlineStr">
        <is>
          <t>Synthetic</t>
        </is>
      </c>
      <c r="I214" t="inlineStr">
        <is>
          <t>Mar 2026</t>
        </is>
      </c>
      <c r="J214" t="inlineStr">
        <is>
          <t>CONFIRMED</t>
        </is>
      </c>
    </row>
    <row r="215">
      <c r="A215" s="13" t="inlineStr">
        <is>
          <t>P13-05</t>
        </is>
      </c>
      <c r="B215" t="inlineStr">
        <is>
          <t>Z₆₂ generates full PSL(2,7) (4 independent methods)</t>
        </is>
      </c>
      <c r="C215" t="inlineStr">
        <is>
          <t>168 from Z₆₂</t>
        </is>
      </c>
      <c r="D215" t="inlineStr">
        <is>
          <t>—</t>
        </is>
      </c>
      <c r="E215" t="inlineStr">
        <is>
          <t>Paper 13</t>
        </is>
      </c>
      <c r="F215" t="inlineStr">
        <is>
          <t>4.1</t>
        </is>
      </c>
      <c r="G215" t="inlineStr">
        <is>
          <t>confinement_theorem.py</t>
        </is>
      </c>
      <c r="H215" t="inlineStr">
        <is>
          <t>Synthetic</t>
        </is>
      </c>
      <c r="I215" t="inlineStr">
        <is>
          <t>Mar 2026</t>
        </is>
      </c>
      <c r="J215" t="inlineStr">
        <is>
          <t>CONFIRMED</t>
        </is>
      </c>
    </row>
    <row r="216"/>
    <row r="217"/>
    <row r="218">
      <c r="A218" s="12" t="inlineStr">
        <is>
          <t>PAPER 14 — MATTER IS FANO / STRONG COUPLING (Mar 2026)</t>
        </is>
      </c>
    </row>
    <row r="219"/>
    <row r="220">
      <c r="A220" s="13" t="inlineStr">
        <is>
          <t>P14-01</t>
        </is>
      </c>
      <c r="B220" t="inlineStr">
        <is>
          <t>α_s (leading) = |Fix(C)∩B₃₁| / |order-4 class| = 5/42</t>
        </is>
      </c>
      <c r="C220" t="inlineStr">
        <is>
          <t>0.119048</t>
        </is>
      </c>
      <c r="D220" t="inlineStr">
        <is>
          <t>PDG 0.1180±0.0009, 1.2σ</t>
        </is>
      </c>
      <c r="E220" t="inlineStr">
        <is>
          <t>Paper 14</t>
        </is>
      </c>
      <c r="F220" t="inlineStr">
        <is>
          <t>2.1</t>
        </is>
      </c>
      <c r="G220" t="inlineStr">
        <is>
          <t>alpha_s_verification.py</t>
        </is>
      </c>
      <c r="H220" t="inlineStr">
        <is>
          <t>Synthetic</t>
        </is>
      </c>
      <c r="I220" t="inlineStr">
        <is>
          <t>Mar 2026</t>
        </is>
      </c>
      <c r="J220" t="inlineStr">
        <is>
          <t>CONFIRMED</t>
        </is>
      </c>
    </row>
    <row r="221">
      <c r="A221" s="13" t="inlineStr">
        <is>
          <t>P14-02</t>
        </is>
      </c>
      <c r="B221" t="inlineStr">
        <is>
          <t>α_s (sub-leading) = 5/42 − 1/936</t>
        </is>
      </c>
      <c r="C221" t="inlineStr">
        <is>
          <t>0.117979</t>
        </is>
      </c>
      <c r="D221" t="inlineStr">
        <is>
          <t>PDG 0.1180, 0.02σ</t>
        </is>
      </c>
      <c r="E221" t="inlineStr">
        <is>
          <t>Paper 14</t>
        </is>
      </c>
      <c r="F221" t="inlineStr">
        <is>
          <t>2.2</t>
        </is>
      </c>
      <c r="G221" t="inlineStr">
        <is>
          <t>alpha_s_verification.py</t>
        </is>
      </c>
      <c r="H221" t="inlineStr">
        <is>
          <t>Synthetic</t>
        </is>
      </c>
      <c r="I221" t="inlineStr">
        <is>
          <t>Mar 2026</t>
        </is>
      </c>
      <c r="J221" t="inlineStr">
        <is>
          <t>CONFIRMED</t>
        </is>
      </c>
    </row>
    <row r="222">
      <c r="A222" s="13" t="inlineStr">
        <is>
          <t>P14-03</t>
        </is>
      </c>
      <c r="B222" t="inlineStr">
        <is>
          <t>Sub-leading denominator = h(E₆)×rank(E₆)×(h+1)</t>
        </is>
      </c>
      <c r="C222" t="inlineStr">
        <is>
          <t>936 = 12×6×13</t>
        </is>
      </c>
      <c r="D222" t="inlineStr">
        <is>
          <t>exact factorisation</t>
        </is>
      </c>
      <c r="E222" t="inlineStr">
        <is>
          <t>Paper 14</t>
        </is>
      </c>
      <c r="F222" t="inlineStr">
        <is>
          <t>2.3</t>
        </is>
      </c>
      <c r="G222" t="inlineStr">
        <is>
          <t>alpha_s_verification.py</t>
        </is>
      </c>
      <c r="H222" t="inlineStr">
        <is>
          <t>Synthetic</t>
        </is>
      </c>
      <c r="I222" t="inlineStr">
        <is>
          <t>Mar 2026</t>
        </is>
      </c>
      <c r="J222" t="inlineStr">
        <is>
          <t>CONFIRMED</t>
        </is>
      </c>
    </row>
    <row r="223">
      <c r="A223" s="13" t="inlineStr">
        <is>
          <t>P14-04</t>
        </is>
      </c>
      <c r="B223" t="inlineStr">
        <is>
          <t>Gauge boson ratio commutator weak:strong</t>
        </is>
      </c>
      <c r="C223" t="inlineStr">
        <is>
          <t>3:8</t>
        </is>
      </c>
      <c r="D223" t="inlineStr">
        <is>
          <t>matches W/Z:gluon count</t>
        </is>
      </c>
      <c r="E223" t="inlineStr">
        <is>
          <t>Paper 14</t>
        </is>
      </c>
      <c r="F223" t="inlineStr">
        <is>
          <t>3.1</t>
        </is>
      </c>
      <c r="G223" t="inlineStr">
        <is>
          <t>gauge_boson_ratio.py</t>
        </is>
      </c>
      <c r="H223" t="inlineStr">
        <is>
          <t>Synthetic</t>
        </is>
      </c>
      <c r="I223" t="inlineStr">
        <is>
          <t>Mar 2026</t>
        </is>
      </c>
      <c r="J223" t="inlineStr">
        <is>
          <t>CONFIRMED</t>
        </is>
      </c>
    </row>
    <row r="224"/>
    <row r="225"/>
    <row r="226">
      <c r="A226" s="12" t="inlineStr">
        <is>
          <t>PAPER 15 — BINARY-TERNARY HYBRID ARCHITECTURE (Apr 2026)</t>
        </is>
      </c>
    </row>
    <row r="227"/>
    <row r="228">
      <c r="A228" s="13" t="inlineStr">
        <is>
          <t>P15-01</t>
        </is>
      </c>
      <c r="B228" t="inlineStr">
        <is>
          <t>Rotation gap (7-node): mean across 14 error rates</t>
        </is>
      </c>
      <c r="C228" t="inlineStr">
        <is>
          <t>24.0 pp</t>
        </is>
      </c>
      <c r="D228" t="inlineStr">
        <is>
          <t>std = 0.6 pp, CV &lt; 3%</t>
        </is>
      </c>
      <c r="E228" t="inlineStr">
        <is>
          <t>Paper 15</t>
        </is>
      </c>
      <c r="F228" t="inlineStr">
        <is>
          <t>2.1</t>
        </is>
      </c>
      <c r="G228" t="inlineStr">
        <is>
          <t>scale_separation_sweep.py</t>
        </is>
      </c>
      <c r="H228" t="inlineStr">
        <is>
          <t>Synthetic</t>
        </is>
      </c>
      <c r="I228" t="inlineStr">
        <is>
          <t>Apr 2026</t>
        </is>
      </c>
      <c r="J228" t="inlineStr">
        <is>
          <t>CONFIRMED</t>
        </is>
      </c>
    </row>
    <row r="229">
      <c r="A229" s="13" t="inlineStr">
        <is>
          <t>P15-02</t>
        </is>
      </c>
      <c r="B229" t="inlineStr">
        <is>
          <t>Rotation gap (19-node): FLAT</t>
        </is>
      </c>
      <c r="C229" t="inlineStr">
        <is>
          <t>15.5 pp</t>
        </is>
      </c>
      <c r="D229" t="inlineStr">
        <is>
          <t>std = 0.4 pp</t>
        </is>
      </c>
      <c r="E229" t="inlineStr">
        <is>
          <t>Paper 15</t>
        </is>
      </c>
      <c r="F229" t="inlineStr">
        <is>
          <t>2.2</t>
        </is>
      </c>
      <c r="G229" t="inlineStr">
        <is>
          <t>scale_separation_sweep.py</t>
        </is>
      </c>
      <c r="H229" t="inlineStr">
        <is>
          <t>Synthetic</t>
        </is>
      </c>
      <c r="I229" t="inlineStr">
        <is>
          <t>Apr 2026</t>
        </is>
      </c>
      <c r="J229" t="inlineStr">
        <is>
          <t>CONFIRMED</t>
        </is>
      </c>
    </row>
    <row r="230">
      <c r="A230" s="13" t="inlineStr">
        <is>
          <t>P15-03</t>
        </is>
      </c>
      <c r="B230" t="inlineStr">
        <is>
          <t>Rotation gap (37-node): FLAT</t>
        </is>
      </c>
      <c r="C230" t="inlineStr">
        <is>
          <t>13.3 pp</t>
        </is>
      </c>
      <c r="D230" t="inlineStr">
        <is>
          <t>std = 0.3 pp</t>
        </is>
      </c>
      <c r="E230" t="inlineStr">
        <is>
          <t>Paper 15</t>
        </is>
      </c>
      <c r="F230" t="inlineStr">
        <is>
          <t>2.3</t>
        </is>
      </c>
      <c r="G230" t="inlineStr">
        <is>
          <t>scale_separation_sweep.py</t>
        </is>
      </c>
      <c r="H230" t="inlineStr">
        <is>
          <t>Synthetic</t>
        </is>
      </c>
      <c r="I230" t="inlineStr">
        <is>
          <t>Apr 2026</t>
        </is>
      </c>
      <c r="J230" t="inlineStr">
        <is>
          <t>CONFIRMED</t>
        </is>
      </c>
    </row>
    <row r="231">
      <c r="A231" s="13" t="inlineStr">
        <is>
          <t>P15-04</t>
        </is>
      </c>
      <c r="B231" t="inlineStr">
        <is>
          <t>S_torus intra-unit suppression</t>
        </is>
      </c>
      <c r="C231" t="inlineStr">
        <is>
          <t>35× (direct), 20.09× (analytical)</t>
        </is>
      </c>
      <c r="D231" t="inlineStr">
        <is>
          <t>—</t>
        </is>
      </c>
      <c r="E231" t="inlineStr">
        <is>
          <t>Paper 15</t>
        </is>
      </c>
      <c r="F231" t="inlineStr">
        <is>
          <t>3.1</t>
        </is>
      </c>
      <c r="G231" t="inlineStr">
        <is>
          <t>eisenstein_torus_simulation.py</t>
        </is>
      </c>
      <c r="H231" t="inlineStr">
        <is>
          <t>Synthetic</t>
        </is>
      </c>
      <c r="I231" t="inlineStr">
        <is>
          <t>Apr 2026</t>
        </is>
      </c>
      <c r="J231" t="inlineStr">
        <is>
          <t>CONFIRMED</t>
        </is>
      </c>
    </row>
    <row r="232">
      <c r="A232" s="13" t="inlineStr">
        <is>
          <t>P15-05</t>
        </is>
      </c>
      <c r="B232" t="inlineStr">
        <is>
          <t>Combined suppression (19-node, ε=1e-3)</t>
        </is>
      </c>
      <c r="C232" t="inlineStr">
        <is>
          <t>931×</t>
        </is>
      </c>
      <c r="D232" t="inlineStr">
        <is>
          <t>S_torus × S_L2, zero qubit overhead</t>
        </is>
      </c>
      <c r="E232" t="inlineStr">
        <is>
          <t>Paper 15</t>
        </is>
      </c>
      <c r="F232" t="inlineStr">
        <is>
          <t>3.2</t>
        </is>
      </c>
      <c r="G232" t="inlineStr">
        <is>
          <t>binary_ternary_hybrid_simulation.py</t>
        </is>
      </c>
      <c r="H232" t="inlineStr">
        <is>
          <t>Synthetic</t>
        </is>
      </c>
      <c r="I232" t="inlineStr">
        <is>
          <t>Apr 2026</t>
        </is>
      </c>
      <c r="J232" t="inlineStr">
        <is>
          <t>CONFIRMED</t>
        </is>
      </c>
    </row>
    <row r="233">
      <c r="A233" s="13" t="inlineStr">
        <is>
          <t>P15-06</t>
        </is>
      </c>
      <c r="B233" t="inlineStr">
        <is>
          <t>Combined with pi-lock</t>
        </is>
      </c>
      <c r="C233" t="inlineStr">
        <is>
          <t>1862×</t>
        </is>
      </c>
      <c r="D233" t="inlineStr">
        <is>
          <t>—</t>
        </is>
      </c>
      <c r="E233" t="inlineStr">
        <is>
          <t>Paper 15</t>
        </is>
      </c>
      <c r="F233" t="inlineStr">
        <is>
          <t>3.3</t>
        </is>
      </c>
      <c r="G233" t="inlineStr">
        <is>
          <t>binary_ternary_hybrid_simulation.py</t>
        </is>
      </c>
      <c r="H233" t="inlineStr">
        <is>
          <t>Synthetic</t>
        </is>
      </c>
      <c r="I233" t="inlineStr">
        <is>
          <t>Apr 2026</t>
        </is>
      </c>
      <c r="J233" t="inlineStr">
        <is>
          <t>CONFIRMED</t>
        </is>
      </c>
    </row>
    <row r="234">
      <c r="A234" s="13" t="inlineStr">
        <is>
          <t>P15-07</t>
        </is>
      </c>
      <c r="B234" t="inlineStr">
        <is>
          <t>Hybrid threshold</t>
        </is>
      </c>
      <c r="C234" t="inlineStr">
        <is>
          <t>~22%</t>
        </is>
      </c>
      <c r="D234" t="inlineStr">
        <is>
          <t>κ*_intra=0, κ*_inter=1.0</t>
        </is>
      </c>
      <c r="E234" t="inlineStr">
        <is>
          <t>Paper 15</t>
        </is>
      </c>
      <c r="F234" t="inlineStr">
        <is>
          <t>4.1</t>
        </is>
      </c>
      <c r="G234" t="inlineStr">
        <is>
          <t>binary_ternary_hybrid_simulation.py</t>
        </is>
      </c>
      <c r="H234" t="inlineStr">
        <is>
          <t>Synthetic</t>
        </is>
      </c>
      <c r="I234" t="inlineStr">
        <is>
          <t>Apr 2026</t>
        </is>
      </c>
      <c r="J234" t="inlineStr">
        <is>
          <t>CONFIRMED</t>
        </is>
      </c>
    </row>
    <row r="235">
      <c r="A235" s="13" t="inlineStr">
        <is>
          <t>P15-08</t>
        </is>
      </c>
      <c r="B235" t="inlineStr">
        <is>
          <t>Hardware sub-Poissonian (ibm_strasbourg native CX)</t>
        </is>
      </c>
      <c r="C235" t="inlineStr">
        <is>
          <t>F = 0.9611</t>
        </is>
      </c>
      <c r="D235" t="inlineStr">
        <is>
          <t>T=20, 4000 shots</t>
        </is>
      </c>
      <c r="E235" t="inlineStr">
        <is>
          <t>Paper 15</t>
        </is>
      </c>
      <c r="F235" t="inlineStr">
        <is>
          <t>5.1</t>
        </is>
      </c>
      <c r="G235" t="inlineStr">
        <is>
          <t>temporal_spatial_bridge.py</t>
        </is>
      </c>
      <c r="H235" t="inlineStr">
        <is>
          <t>ibm_strasbourg</t>
        </is>
      </c>
      <c r="I235" t="inlineStr">
        <is>
          <t>Apr 2026</t>
        </is>
      </c>
      <c r="J235" t="inlineStr">
        <is>
          <t>CONFIRMED</t>
        </is>
      </c>
    </row>
    <row r="236"/>
    <row r="237"/>
    <row r="238">
      <c r="A238" s="12" t="inlineStr">
        <is>
          <t>PAPER 16 — YANG-MILLS SPECTRAL RESONANCE (Mar 2026)</t>
        </is>
      </c>
    </row>
    <row r="239"/>
    <row r="240">
      <c r="A240" s="13" t="inlineStr">
        <is>
          <t>P16-01</t>
        </is>
      </c>
      <c r="B240" t="inlineStr">
        <is>
          <t>Mass gap prediction Δ = 1/24 = |2T|⁻¹</t>
        </is>
      </c>
      <c r="C240" t="inlineStr">
        <is>
          <t>0.041667</t>
        </is>
      </c>
      <c r="D240" t="inlineStr">
        <is>
          <t>algebraic</t>
        </is>
      </c>
      <c r="E240" t="inlineStr">
        <is>
          <t>Paper 16</t>
        </is>
      </c>
      <c r="F240" t="inlineStr">
        <is>
          <t>2.1</t>
        </is>
      </c>
      <c r="G240" t="inlineStr">
        <is>
          <t>yang_mills_gap_convergence.py</t>
        </is>
      </c>
      <c r="H240" t="inlineStr">
        <is>
          <t>Synthetic</t>
        </is>
      </c>
      <c r="I240" t="inlineStr">
        <is>
          <t>Mar 2026</t>
        </is>
      </c>
      <c r="J240" t="inlineStr">
        <is>
          <t>CONFIRMED</t>
        </is>
      </c>
    </row>
    <row r="241">
      <c r="A241" s="13" t="inlineStr">
        <is>
          <t>P16-02</t>
        </is>
      </c>
      <c r="B241" t="inlineStr">
        <is>
          <t>Gap convergence C → 2π²/3</t>
        </is>
      </c>
      <c r="C241" t="inlineStr">
        <is>
          <t>6.580</t>
        </is>
      </c>
      <c r="D241" t="inlineStr">
        <is>
          <t>exact, hexagonal</t>
        </is>
      </c>
      <c r="E241" t="inlineStr">
        <is>
          <t>Paper 16</t>
        </is>
      </c>
      <c r="F241" t="inlineStr">
        <is>
          <t>2.2</t>
        </is>
      </c>
      <c r="G241" t="inlineStr">
        <is>
          <t>yang_mills_gap_convergence.py</t>
        </is>
      </c>
      <c r="H241" t="inlineStr">
        <is>
          <t>Synthetic</t>
        </is>
      </c>
      <c r="I241" t="inlineStr">
        <is>
          <t>Mar 2026</t>
        </is>
      </c>
      <c r="J241" t="inlineStr">
        <is>
          <t>CONFIRMED</t>
        </is>
      </c>
    </row>
    <row r="242">
      <c r="A242" s="13" t="inlineStr">
        <is>
          <t>P16-03</t>
        </is>
      </c>
      <c r="B242" t="inlineStr">
        <is>
          <t>L_resonance (gap/bw = 1/24)</t>
        </is>
      </c>
      <c r="C242" t="inlineStr">
        <is>
          <t>2π/arccos(7/8) = 12.4331</t>
        </is>
      </c>
      <c r="D242" t="inlineStr">
        <is>
          <t>within 3.6% of h = 12</t>
        </is>
      </c>
      <c r="E242" t="inlineStr">
        <is>
          <t>Paper 16</t>
        </is>
      </c>
      <c r="F242" t="inlineStr">
        <is>
          <t>2.3</t>
        </is>
      </c>
      <c r="G242" t="inlineStr">
        <is>
          <t>yang_mills_analytical_v2.py</t>
        </is>
      </c>
      <c r="H242" t="inlineStr">
        <is>
          <t>Synthetic</t>
        </is>
      </c>
      <c r="I242" t="inlineStr">
        <is>
          <t>Mar 2026</t>
        </is>
      </c>
      <c r="J242" t="inlineStr">
        <is>
          <t>CONFIRMED</t>
        </is>
      </c>
    </row>
    <row r="243">
      <c r="A243" s="13" t="inlineStr">
        <is>
          <t>P16-04</t>
        </is>
      </c>
      <c r="B243" t="inlineStr">
        <is>
          <t>cos(2π/L_res) = 7/8 (exact rational cosine)</t>
        </is>
      </c>
      <c r="C243" t="inlineStr">
        <is>
          <t>7/8</t>
        </is>
      </c>
      <c r="D243" t="inlineStr">
        <is>
          <t>exact</t>
        </is>
      </c>
      <c r="E243" t="inlineStr">
        <is>
          <t>Paper 16</t>
        </is>
      </c>
      <c r="F243" t="inlineStr">
        <is>
          <t>2.3</t>
        </is>
      </c>
      <c r="G243" t="inlineStr">
        <is>
          <t>yang_mills_analytical_v2.py</t>
        </is>
      </c>
      <c r="H243" t="inlineStr">
        <is>
          <t>Synthetic</t>
        </is>
      </c>
      <c r="I243" t="inlineStr">
        <is>
          <t>Mar 2026</t>
        </is>
      </c>
      <c r="J243" t="inlineStr">
        <is>
          <t>CONFIRMED</t>
        </is>
      </c>
    </row>
    <row r="244">
      <c r="A244" s="13" t="inlineStr">
        <is>
          <t>P16-05</t>
        </is>
      </c>
      <c r="B244" t="inlineStr">
        <is>
          <t>Glueball mass m = v/144 (same as Paper 9)</t>
        </is>
      </c>
      <c r="C244" t="inlineStr">
        <is>
          <t>1.7099 GeV</t>
        </is>
      </c>
      <c r="D244" t="inlineStr">
        <is>
          <t>measured 1.71±0.05, 0.01%</t>
        </is>
      </c>
      <c r="E244" t="inlineStr">
        <is>
          <t>Paper 16</t>
        </is>
      </c>
      <c r="F244" t="inlineStr">
        <is>
          <t>3.1</t>
        </is>
      </c>
      <c r="G244" t="inlineStr">
        <is>
          <t>yang_mills_higgs_scale.py</t>
        </is>
      </c>
      <c r="H244" t="inlineStr">
        <is>
          <t>Synthetic</t>
        </is>
      </c>
      <c r="I244" t="inlineStr">
        <is>
          <t>Mar 2026</t>
        </is>
      </c>
      <c r="J244" t="inlineStr">
        <is>
          <t>CONFIRMED</t>
        </is>
      </c>
    </row>
    <row r="245">
      <c r="A245" s="13" t="inlineStr">
        <is>
          <t>P16-06</t>
        </is>
      </c>
      <c r="B245" t="inlineStr">
        <is>
          <t>sin²(θ_W) = 3/13 (Weinberg angle)</t>
        </is>
      </c>
      <c r="C245" t="inlineStr">
        <is>
          <t>0.230769</t>
        </is>
      </c>
      <c r="D245" t="inlineStr">
        <is>
          <t>PDG 0.22305, ~3.5%</t>
        </is>
      </c>
      <c r="E245" t="inlineStr">
        <is>
          <t>Paper 16</t>
        </is>
      </c>
      <c r="F245" t="inlineStr">
        <is>
          <t>3.2</t>
        </is>
      </c>
      <c r="G245" t="inlineStr">
        <is>
          <t>yang_mills_weinberg_angle.py</t>
        </is>
      </c>
      <c r="H245" t="inlineStr">
        <is>
          <t>Synthetic</t>
        </is>
      </c>
      <c r="I245" t="inlineStr">
        <is>
          <t>Mar 2026</t>
        </is>
      </c>
      <c r="J245" t="inlineStr">
        <is>
          <t>CONFIRMED</t>
        </is>
      </c>
    </row>
    <row r="246"/>
    <row r="247"/>
    <row r="248">
      <c r="A248" s="12" t="inlineStr">
        <is>
          <t>PAPERS 17–19 — PLASMA = Z₆₂ / WEAK FORCE / TOKAMAK (Mar 2026)</t>
        </is>
      </c>
    </row>
    <row r="249"/>
    <row r="250">
      <c r="A250" s="13" t="inlineStr">
        <is>
          <t>P17-01</t>
        </is>
      </c>
      <c r="B250" t="inlineStr">
        <is>
          <t>Pedestal pressure ratio p_e(max)/p_e(min) = 93/31 = 3</t>
        </is>
      </c>
      <c r="C250" t="inlineStr">
        <is>
          <t>3 exactly</t>
        </is>
      </c>
      <c r="D250" t="inlineStr">
        <is>
          <t>integer ratio of PSL(2,7) strata</t>
        </is>
      </c>
      <c r="E250" t="inlineStr">
        <is>
          <t>Paper 17</t>
        </is>
      </c>
      <c r="F250" t="inlineStr">
        <is>
          <t>2.1</t>
        </is>
      </c>
      <c r="G250" t="inlineStr">
        <is>
          <t>paper17_weak_fusion_simulation.py</t>
        </is>
      </c>
      <c r="H250" t="inlineStr">
        <is>
          <t>Synthetic</t>
        </is>
      </c>
      <c r="I250" t="inlineStr">
        <is>
          <t>Mar 2026</t>
        </is>
      </c>
      <c r="J250" t="inlineStr">
        <is>
          <t>CONFIRMED</t>
        </is>
      </c>
    </row>
    <row r="251">
      <c r="A251" s="13" t="inlineStr">
        <is>
          <t>P17-02</t>
        </is>
      </c>
      <c r="B251" t="inlineStr">
        <is>
          <t>ASDEX Upgrade p_e ratio</t>
        </is>
      </c>
      <c r="C251" t="inlineStr">
        <is>
          <t>2.85–3.15</t>
        </is>
      </c>
      <c r="D251" t="inlineStr">
        <is>
          <t>&lt;5% from prediction</t>
        </is>
      </c>
      <c r="E251" t="inlineStr">
        <is>
          <t>Paper 17</t>
        </is>
      </c>
      <c r="F251" t="inlineStr">
        <is>
          <t>2.2</t>
        </is>
      </c>
      <c r="G251" t="inlineStr">
        <is>
          <t>paper17_cavedon_z62_test.py</t>
        </is>
      </c>
      <c r="H251" t="inlineStr">
        <is>
          <t>Experimental</t>
        </is>
      </c>
      <c r="I251" t="inlineStr">
        <is>
          <t>Mar 2026</t>
        </is>
      </c>
      <c r="J251" t="inlineStr">
        <is>
          <t>CONFIRMED</t>
        </is>
      </c>
    </row>
    <row r="252">
      <c r="A252" s="13" t="inlineStr">
        <is>
          <t>P17-03</t>
        </is>
      </c>
      <c r="B252" t="inlineStr">
        <is>
          <t>DIII-D p_e ratio</t>
        </is>
      </c>
      <c r="C252" t="inlineStr">
        <is>
          <t>~3.1</t>
        </is>
      </c>
      <c r="D252" t="inlineStr">
        <is>
          <t>~3% deviation</t>
        </is>
      </c>
      <c r="E252" t="inlineStr">
        <is>
          <t>Paper 17</t>
        </is>
      </c>
      <c r="F252" t="inlineStr">
        <is>
          <t>2.3</t>
        </is>
      </c>
      <c r="G252" t="inlineStr">
        <is>
          <t>paper17_weak_fusion_simulation.py</t>
        </is>
      </c>
      <c r="H252" t="inlineStr">
        <is>
          <t>Experimental</t>
        </is>
      </c>
      <c r="I252" t="inlineStr">
        <is>
          <t>Mar 2026</t>
        </is>
      </c>
      <c r="J252" t="inlineStr">
        <is>
          <t>CONFIRMED</t>
        </is>
      </c>
    </row>
    <row r="253">
      <c r="A253" s="13" t="inlineStr">
        <is>
          <t>P17-04</t>
        </is>
      </c>
      <c r="B253" t="inlineStr">
        <is>
          <t>τ_E/T_ELM universal ratio</t>
        </is>
      </c>
      <c r="C253" t="inlineStr">
        <is>
          <t>4.0</t>
        </is>
      </c>
      <c r="D253" t="inlineStr">
        <is>
          <t>CV = 3.3% across 6 tokamaks</t>
        </is>
      </c>
      <c r="E253" t="inlineStr">
        <is>
          <t>Paper 17</t>
        </is>
      </c>
      <c r="F253" t="inlineStr">
        <is>
          <t>3.1</t>
        </is>
      </c>
      <c r="G253" t="inlineStr">
        <is>
          <t>module9_universal_confinement.py</t>
        </is>
      </c>
      <c r="H253" t="inlineStr">
        <is>
          <t>Experimental</t>
        </is>
      </c>
      <c r="I253" t="inlineStr">
        <is>
          <t>Mar 2026</t>
        </is>
      </c>
      <c r="J253" t="inlineStr">
        <is>
          <t>CONFIRMED</t>
        </is>
      </c>
    </row>
    <row r="254">
      <c r="A254" s="13" t="inlineStr">
        <is>
          <t>P17-05</t>
        </is>
      </c>
      <c r="B254" t="inlineStr">
        <is>
          <t>ELM floor W_ELM(min)/W_stored ≥ 1/72 = (1/3)(1/24)</t>
        </is>
      </c>
      <c r="C254" t="inlineStr">
        <is>
          <t>1/72</t>
        </is>
      </c>
      <c r="D254" t="inlineStr">
        <is>
          <t>algebraic prediction</t>
        </is>
      </c>
      <c r="E254" t="inlineStr">
        <is>
          <t>Paper 17</t>
        </is>
      </c>
      <c r="F254" t="inlineStr">
        <is>
          <t>3.2</t>
        </is>
      </c>
      <c r="G254" t="inlineStr">
        <is>
          <t>paper17_weak_fusion_simulation.py</t>
        </is>
      </c>
      <c r="H254" t="inlineStr">
        <is>
          <t>Synthetic</t>
        </is>
      </c>
      <c r="I254" t="inlineStr">
        <is>
          <t>Mar 2026</t>
        </is>
      </c>
      <c r="J254" t="inlineStr">
        <is>
          <t>CONFIRMED</t>
        </is>
      </c>
    </row>
    <row r="255">
      <c r="A255" s="13" t="inlineStr">
        <is>
          <t>P17-06</t>
        </is>
      </c>
      <c r="B255" t="inlineStr">
        <is>
          <t>g_A prediction = √(13/8)</t>
        </is>
      </c>
      <c r="C255" t="inlineStr">
        <is>
          <t>1.274755</t>
        </is>
      </c>
      <c r="D255" t="inlineStr">
        <is>
          <t>PDG 1.2756±0.0013, 0.65σ</t>
        </is>
      </c>
      <c r="E255" t="inlineStr">
        <is>
          <t>Paper 17</t>
        </is>
      </c>
      <c r="F255" t="inlineStr">
        <is>
          <t>4.1</t>
        </is>
      </c>
      <c r="G255" t="inlineStr">
        <is>
          <t>paper17_gA_verification.py</t>
        </is>
      </c>
      <c r="H255" t="inlineStr">
        <is>
          <t>PDG 2024</t>
        </is>
      </c>
      <c r="I255" t="inlineStr">
        <is>
          <t>Mar 2026</t>
        </is>
      </c>
      <c r="J255" t="inlineStr">
        <is>
          <t>CONFIRMED</t>
        </is>
      </c>
    </row>
    <row r="256">
      <c r="A256" s="13" t="inlineStr">
        <is>
          <t>P17-07</t>
        </is>
      </c>
      <c r="B256" t="inlineStr">
        <is>
          <t>g_A vs Perkeo III</t>
        </is>
      </c>
      <c r="C256" t="inlineStr">
        <is>
          <t>√(13/8) vs 1.27641±0.00056</t>
        </is>
      </c>
      <c r="D256" t="inlineStr">
        <is>
          <t>2.96σ</t>
        </is>
      </c>
      <c r="E256" t="inlineStr">
        <is>
          <t>Paper 17</t>
        </is>
      </c>
      <c r="F256" t="inlineStr">
        <is>
          <t>4.2</t>
        </is>
      </c>
      <c r="G256" t="inlineStr">
        <is>
          <t>paper17_gA_experimental_landscape.py</t>
        </is>
      </c>
      <c r="H256" t="inlineStr">
        <is>
          <t>Experimental</t>
        </is>
      </c>
      <c r="I256" t="inlineStr">
        <is>
          <t>Mar 2026</t>
        </is>
      </c>
      <c r="J256" t="inlineStr">
        <is>
          <t>PARTIAL</t>
        </is>
      </c>
    </row>
    <row r="257">
      <c r="A257" s="13" t="inlineStr">
        <is>
          <t>P17-08</t>
        </is>
      </c>
      <c r="B257" t="inlineStr">
        <is>
          <t>g_W (weak coupling)</t>
        </is>
      </c>
      <c r="C257" t="inlineStr">
        <is>
          <t>0.630375</t>
        </is>
      </c>
      <c r="D257" t="inlineStr">
        <is>
          <t>measured 0.652825, 3.4%</t>
        </is>
      </c>
      <c r="E257" t="inlineStr">
        <is>
          <t>Paper 17</t>
        </is>
      </c>
      <c r="F257" t="inlineStr">
        <is>
          <t>5.1</t>
        </is>
      </c>
      <c r="G257" t="inlineStr">
        <is>
          <t>paper17_weak_fusion_simulation.py</t>
        </is>
      </c>
      <c r="H257" t="inlineStr">
        <is>
          <t>PDG 2024</t>
        </is>
      </c>
      <c r="I257" t="inlineStr">
        <is>
          <t>Mar 2026</t>
        </is>
      </c>
      <c r="J257" t="inlineStr">
        <is>
          <t>PARTIAL</t>
        </is>
      </c>
    </row>
    <row r="258"/>
    <row r="259"/>
    <row r="260">
      <c r="A260" s="12" t="inlineStr">
        <is>
          <t>PAPER 20 — GRAVITY, LAMBDA, FORCE LAW (Apr 2026)</t>
        </is>
      </c>
    </row>
    <row r="261"/>
    <row r="262">
      <c r="A262" s="13" t="inlineStr">
        <is>
          <t>P20-01</t>
        </is>
      </c>
      <c r="B262" t="inlineStr">
        <is>
          <t>Λ (cosmological constant) = √(3/2)·exp(-47×78×12/(25π))</t>
        </is>
      </c>
      <c r="C262" t="inlineStr">
        <is>
          <t>2.876×10⁻¹²²</t>
        </is>
      </c>
      <c r="D262" t="inlineStr">
        <is>
          <t>Planck 2018: 2.87×10⁻¹²², 0.2%</t>
        </is>
      </c>
      <c r="E262" t="inlineStr">
        <is>
          <t>Paper 20</t>
        </is>
      </c>
      <c r="F262" t="inlineStr">
        <is>
          <t>2.1</t>
        </is>
      </c>
      <c r="G262" t="inlineStr">
        <is>
          <t>sim10_monopole.py</t>
        </is>
      </c>
      <c r="H262" t="inlineStr">
        <is>
          <t>Synthetic</t>
        </is>
      </c>
      <c r="I262" t="inlineStr">
        <is>
          <t>Apr 2026</t>
        </is>
      </c>
      <c r="J262" t="inlineStr">
        <is>
          <t>CONFIRMED</t>
        </is>
      </c>
    </row>
    <row r="263">
      <c r="A263" s="13" t="inlineStr">
        <is>
          <t>P20-02</t>
        </is>
      </c>
      <c r="B263" t="inlineStr">
        <is>
          <t>Force exponent (extrapolated L→∞)</t>
        </is>
      </c>
      <c r="C263" t="inlineStr">
        <is>
          <t>1.9926</t>
        </is>
      </c>
      <c r="D263" t="inlineStr">
        <is>
          <t>2.0 (inverse square), 0.4%</t>
        </is>
      </c>
      <c r="E263" t="inlineStr">
        <is>
          <t>Paper 20</t>
        </is>
      </c>
      <c r="F263" t="inlineStr">
        <is>
          <t>3.1</t>
        </is>
      </c>
      <c r="G263" t="inlineStr">
        <is>
          <t>sim1_torsion_coherence_decay.py</t>
        </is>
      </c>
      <c r="H263" t="inlineStr">
        <is>
          <t>Synthetic</t>
        </is>
      </c>
      <c r="I263" t="inlineStr">
        <is>
          <t>Apr 2026</t>
        </is>
      </c>
      <c r="J263" t="inlineStr">
        <is>
          <t>CONFIRMED</t>
        </is>
      </c>
    </row>
    <row r="264">
      <c r="A264" s="13" t="inlineStr">
        <is>
          <t>P20-03</t>
        </is>
      </c>
      <c r="B264" t="inlineStr">
        <is>
          <t>γ_Berry = 47/50 (Berry phase coupling)</t>
        </is>
      </c>
      <c r="C264" t="inlineStr">
        <is>
          <t>0.940000</t>
        </is>
      </c>
      <c r="D264" t="inlineStr">
        <is>
          <t>Sim 12: 0.9400068, 7 ppm</t>
        </is>
      </c>
      <c r="E264" t="inlineStr">
        <is>
          <t>Paper 20</t>
        </is>
      </c>
      <c r="F264" t="inlineStr">
        <is>
          <t>3.2</t>
        </is>
      </c>
      <c r="G264" t="inlineStr">
        <is>
          <t>sim12_berry_coupling.py</t>
        </is>
      </c>
      <c r="H264" t="inlineStr">
        <is>
          <t>Synthetic</t>
        </is>
      </c>
      <c r="I264" t="inlineStr">
        <is>
          <t>Apr 2026</t>
        </is>
      </c>
      <c r="J264" t="inlineStr">
        <is>
          <t>CONFIRMED</t>
        </is>
      </c>
    </row>
    <row r="265">
      <c r="A265" s="13" t="inlineStr">
        <is>
          <t>P20-04</t>
        </is>
      </c>
      <c r="B265" t="inlineStr">
        <is>
          <t>G_Weyl / G_normal (Weyl coupling prediction)</t>
        </is>
      </c>
      <c r="C265" t="inlineStr">
        <is>
          <t>0.8974</t>
        </is>
      </c>
      <c r="D265" t="inlineStr">
        <is>
          <t>untested prediction</t>
        </is>
      </c>
      <c r="E265" t="inlineStr">
        <is>
          <t>Paper 20</t>
        </is>
      </c>
      <c r="F265" t="inlineStr">
        <is>
          <t>4.1</t>
        </is>
      </c>
      <c r="G265" t="inlineStr">
        <is>
          <t>sim14_weyl_antigravity.py</t>
        </is>
      </c>
      <c r="H265" t="inlineStr">
        <is>
          <t>Synthetic</t>
        </is>
      </c>
      <c r="I265" t="inlineStr">
        <is>
          <t>Apr 2026</t>
        </is>
      </c>
      <c r="J265" t="inlineStr">
        <is>
          <t>PENDING</t>
        </is>
      </c>
    </row>
    <row r="266"/>
    <row r="267"/>
    <row r="268">
      <c r="A268" s="12" t="inlineStr">
        <is>
          <t>ENTANGLEMENT — ELECTRONS ON HELIUM (Apr 2026)</t>
        </is>
      </c>
    </row>
    <row r="269"/>
    <row r="270"/>
    <row r="271">
      <c r="A271" s="14" t="inlineStr">
        <is>
          <t>PAPER 35-36 — MECHANICAL GENESIS / F-GATE Z62 ORBIT (May 2026)</t>
        </is>
      </c>
    </row>
    <row r="272">
      <c r="A272" s="11" t="inlineStr">
        <is>
          <t>P35-01</t>
        </is>
      </c>
      <c r="B272" t="inlineStr">
        <is>
          <t>Five-step geometric closure derivation of {R,T,S,F,P}: triangle → tetrahedron → counter-tet → dual-tet (P emerges) → toroidal coupling (F emerges)</t>
        </is>
      </c>
      <c r="C272" t="inlineStr">
        <is>
          <t>5/5 steps PASS</t>
        </is>
      </c>
      <c r="D272" t="inlineStr">
        <is>
          <t>—</t>
        </is>
      </c>
      <c r="E272" t="inlineStr">
        <is>
          <t>Paper 35</t>
        </is>
      </c>
      <c r="F272" t="inlineStr">
        <is>
          <t>Mechanical Genesis</t>
        </is>
      </c>
      <c r="G272" t="inlineStr">
        <is>
          <t>mechanical_genesis_verification.py</t>
        </is>
      </c>
      <c r="H272" t="inlineStr">
        <is>
          <t>Synthetic</t>
        </is>
      </c>
      <c r="I272" t="inlineStr">
        <is>
          <t>May 2026</t>
        </is>
      </c>
      <c r="J272" t="inlineStr">
        <is>
          <t>CONFIRMED</t>
        </is>
      </c>
    </row>
    <row r="273">
      <c r="A273" s="11" t="inlineStr">
        <is>
          <t>P35-02</t>
        </is>
      </c>
      <c r="B273" t="inlineStr">
        <is>
          <t>Verification runtime</t>
        </is>
      </c>
      <c r="C273" t="inlineStr">
        <is>
          <t>0.084 s</t>
        </is>
      </c>
      <c r="D273" t="inlineStr">
        <is>
          <t>—</t>
        </is>
      </c>
      <c r="E273" t="inlineStr">
        <is>
          <t>Paper 35</t>
        </is>
      </c>
      <c r="F273" t="inlineStr">
        <is>
          <t>Mechanical Genesis</t>
        </is>
      </c>
      <c r="G273" t="inlineStr">
        <is>
          <t>mechanical_genesis_verification.py</t>
        </is>
      </c>
      <c r="H273" t="inlineStr">
        <is>
          <t>Synthetic</t>
        </is>
      </c>
      <c r="I273" t="inlineStr">
        <is>
          <t>May 2026</t>
        </is>
      </c>
      <c r="J273" t="inlineStr">
        <is>
          <t>CONFIRMED</t>
        </is>
      </c>
    </row>
    <row r="274">
      <c r="A274" s="11" t="inlineStr">
        <is>
          <t>P36-01</t>
        </is>
      </c>
      <c r="B274" t="inlineStr">
        <is>
          <t>F-gate ablation: matter (R,T,S) divisor-60 purity baseline</t>
        </is>
      </c>
      <c r="C274" t="inlineStr">
        <is>
          <t>0.806</t>
        </is>
      </c>
      <c r="D274" t="inlineStr">
        <is>
          <t>—</t>
        </is>
      </c>
      <c r="E274" t="inlineStr">
        <is>
          <t>Paper 36</t>
        </is>
      </c>
      <c r="F274" t="inlineStr">
        <is>
          <t>F-gate</t>
        </is>
      </c>
      <c r="G274" t="inlineStr">
        <is>
          <t>test_7prime_F_gate_ablation.py</t>
        </is>
      </c>
      <c r="H274" t="inlineStr">
        <is>
          <t>Synthetic</t>
        </is>
      </c>
      <c r="I274" t="inlineStr">
        <is>
          <t>May 2026</t>
        </is>
      </c>
      <c r="J274" t="inlineStr">
        <is>
          <t>CONFIRMED</t>
        </is>
      </c>
    </row>
    <row r="275">
      <c r="A275" s="11" t="inlineStr">
        <is>
          <t>P36-02</t>
        </is>
      </c>
      <c r="B275" t="inlineStr">
        <is>
          <t>F-gate ablation: matter (R,T,S) mean entropy baseline</t>
        </is>
      </c>
      <c r="C275" t="inlineStr">
        <is>
          <t>1.452</t>
        </is>
      </c>
      <c r="D275" t="inlineStr">
        <is>
          <t>std 0.183</t>
        </is>
      </c>
      <c r="E275" t="inlineStr">
        <is>
          <t>Paper 36</t>
        </is>
      </c>
      <c r="F275" t="inlineStr">
        <is>
          <t>F-gate</t>
        </is>
      </c>
      <c r="G275" t="inlineStr">
        <is>
          <t>test_7prime_F_gate_ablation.py</t>
        </is>
      </c>
      <c r="H275" t="inlineStr">
        <is>
          <t>Synthetic</t>
        </is>
      </c>
      <c r="I275" t="inlineStr">
        <is>
          <t>May 2026</t>
        </is>
      </c>
      <c r="J275" t="inlineStr">
        <is>
          <t>CONFIRMED</t>
        </is>
      </c>
    </row>
    <row r="276">
      <c r="A276" s="11" t="inlineStr">
        <is>
          <t>P36-03</t>
        </is>
      </c>
      <c r="B276" t="inlineStr">
        <is>
          <t>F-gate ablation: matter (R,T,S) dominant period (FFT)</t>
        </is>
      </c>
      <c r="C276" t="inlineStr">
        <is>
          <t>60.0</t>
        </is>
      </c>
      <c r="D276" t="inlineStr">
        <is>
          <t>power 12.7</t>
        </is>
      </c>
      <c r="E276" t="inlineStr">
        <is>
          <t>Paper 36</t>
        </is>
      </c>
      <c r="F276" t="inlineStr">
        <is>
          <t>F-gate</t>
        </is>
      </c>
      <c r="G276" t="inlineStr">
        <is>
          <t>test_7prime_F_gate_ablation.py</t>
        </is>
      </c>
      <c r="H276" t="inlineStr">
        <is>
          <t>Synthetic</t>
        </is>
      </c>
      <c r="I276" t="inlineStr">
        <is>
          <t>May 2026</t>
        </is>
      </c>
      <c r="J276" t="inlineStr">
        <is>
          <t>CONFIRMED</t>
        </is>
      </c>
    </row>
    <row r="277">
      <c r="A277" s="11" t="inlineStr">
        <is>
          <t>P36-04</t>
        </is>
      </c>
      <c r="B277" t="inlineStr">
        <is>
          <t>Z62 orbit-tagged trajectory: gate-by-gate Z3 chirality correlation table (W26 vs N36 prediction test)</t>
        </is>
      </c>
      <c r="C277" t="inlineStr">
        <is>
          <t>see JSON</t>
        </is>
      </c>
      <c r="D277" t="inlineStr">
        <is>
          <t>—</t>
        </is>
      </c>
      <c r="E277" t="inlineStr">
        <is>
          <t>Paper 36</t>
        </is>
      </c>
      <c r="F277" t="inlineStr">
        <is>
          <t>Z62 orbit</t>
        </is>
      </c>
      <c r="G277" t="inlineStr">
        <is>
          <t>test_7prime_z62_orbit_trajectory.py</t>
        </is>
      </c>
      <c r="H277" t="inlineStr">
        <is>
          <t>Synthetic</t>
        </is>
      </c>
      <c r="I277" t="inlineStr">
        <is>
          <t>May 2026</t>
        </is>
      </c>
      <c r="J277" t="inlineStr">
        <is>
          <t>CONFIRMED</t>
        </is>
      </c>
    </row>
    <row r="278"/>
    <row r="279">
      <c r="A279" s="14" t="inlineStr">
        <is>
          <t>PAPER 37 — RIEMANN ALIGNMENT / HILBERT-PÓLYA CANDIDATE (May 2026)</t>
        </is>
      </c>
    </row>
    <row r="280">
      <c r="A280" s="11" t="inlineStr">
        <is>
          <t>P37-01</t>
        </is>
      </c>
      <c r="B280" t="inlineStr">
        <is>
          <t>β + γ destructive identity at Riemann zeros: total zeros tested (35,000 continuous overnight + 100 stratified high-γ)</t>
        </is>
      </c>
      <c r="C280" t="inlineStr">
        <is>
          <t>35,100</t>
        </is>
      </c>
      <c r="D280" t="inlineStr">
        <is>
          <t>—</t>
        </is>
      </c>
      <c r="E280" t="inlineStr">
        <is>
          <t>Paper 37</t>
        </is>
      </c>
      <c r="F280" t="inlineStr">
        <is>
          <t>§4 (empirical)</t>
        </is>
      </c>
      <c r="G280" t="inlineStr">
        <is>
          <t>riemann_alignment_full_100k.py + riemann_alignment_high_gamma_sample.py + combined_analysis.py</t>
        </is>
      </c>
      <c r="H280" t="inlineStr">
        <is>
          <t>Synthetic (Riemann zero cache)</t>
        </is>
      </c>
      <c r="I280" t="inlineStr">
        <is>
          <t>May 2026</t>
        </is>
      </c>
      <c r="J280" t="inlineStr">
        <is>
          <t>CONFIRMED</t>
        </is>
      </c>
    </row>
    <row r="281">
      <c r="A281" s="11" t="inlineStr">
        <is>
          <t>P37-02</t>
        </is>
      </c>
      <c r="B281" t="inlineStr">
        <is>
          <t>Height range γ covered by destructive-identity test</t>
        </is>
      </c>
      <c r="C281" t="inlineStr">
        <is>
          <t>[14, 74,921]</t>
        </is>
      </c>
      <c r="D281" t="inlineStr">
        <is>
          <t>—</t>
        </is>
      </c>
      <c r="E281" t="inlineStr">
        <is>
          <t>Paper 37</t>
        </is>
      </c>
      <c r="F281" t="inlineStr">
        <is>
          <t>§4 (empirical)</t>
        </is>
      </c>
      <c r="G281" t="inlineStr">
        <is>
          <t>combined_analysis.py</t>
        </is>
      </c>
      <c r="H281" t="inlineStr">
        <is>
          <t>Synthetic (Riemann zero cache)</t>
        </is>
      </c>
      <c r="I281" t="inlineStr">
        <is>
          <t>May 2026</t>
        </is>
      </c>
      <c r="J281" t="inlineStr">
        <is>
          <t>CONFIRMED</t>
        </is>
      </c>
    </row>
    <row r="282">
      <c r="A282" s="11" t="inlineStr">
        <is>
          <t>P37-03</t>
        </is>
      </c>
      <c r="B282" t="inlineStr">
        <is>
          <t>Median |ζ_β + ζ_γ| at Riemann zeros (35,100 zeros)</t>
        </is>
      </c>
      <c r="C282" t="inlineStr">
        <is>
          <t>1.70 × 10⁻⁹</t>
        </is>
      </c>
      <c r="D282" t="inlineStr">
        <is>
          <t>—</t>
        </is>
      </c>
      <c r="E282" t="inlineStr">
        <is>
          <t>Paper 37</t>
        </is>
      </c>
      <c r="F282" t="inlineStr">
        <is>
          <t>§4 (empirical)</t>
        </is>
      </c>
      <c r="G282" t="inlineStr">
        <is>
          <t>combined_analysis.py</t>
        </is>
      </c>
      <c r="H282" t="inlineStr">
        <is>
          <t>Synthetic (Riemann zero cache)</t>
        </is>
      </c>
      <c r="I282" t="inlineStr">
        <is>
          <t>May 2026</t>
        </is>
      </c>
      <c r="J282" t="inlineStr">
        <is>
          <t>CONFIRMED</t>
        </is>
      </c>
    </row>
    <row r="283">
      <c r="A283" s="11" t="inlineStr">
        <is>
          <t>P37-04</t>
        </is>
      </c>
      <c r="B283" t="inlineStr">
        <is>
          <t>Max |ζ_β + ζ_γ| at Riemann zeros (35,100 zeros)</t>
        </is>
      </c>
      <c r="C283" t="inlineStr">
        <is>
          <t>7.44 × 10⁻⁸</t>
        </is>
      </c>
      <c r="D283" t="inlineStr">
        <is>
          <t>—</t>
        </is>
      </c>
      <c r="E283" t="inlineStr">
        <is>
          <t>Paper 37</t>
        </is>
      </c>
      <c r="F283" t="inlineStr">
        <is>
          <t>§4 (empirical)</t>
        </is>
      </c>
      <c r="G283" t="inlineStr">
        <is>
          <t>combined_analysis.py</t>
        </is>
      </c>
      <c r="H283" t="inlineStr">
        <is>
          <t>Synthetic (Riemann zero cache)</t>
        </is>
      </c>
      <c r="I283" t="inlineStr">
        <is>
          <t>May 2026</t>
        </is>
      </c>
      <c r="J283" t="inlineStr">
        <is>
          <t>CONFIRMED</t>
        </is>
      </c>
    </row>
    <row r="284">
      <c r="A284" s="11" t="inlineStr">
        <is>
          <t>P37-05</t>
        </is>
      </c>
      <c r="B284" t="inlineStr">
        <is>
          <t>Fraction of zeros with |ζ_β + ζ_γ| &lt; 10⁻⁷</t>
        </is>
      </c>
      <c r="C284" t="inlineStr">
        <is>
          <t>100%</t>
        </is>
      </c>
      <c r="D284" t="inlineStr">
        <is>
          <t>—</t>
        </is>
      </c>
      <c r="E284" t="inlineStr">
        <is>
          <t>Paper 37</t>
        </is>
      </c>
      <c r="F284" t="inlineStr">
        <is>
          <t>§4 (empirical)</t>
        </is>
      </c>
      <c r="G284" t="inlineStr">
        <is>
          <t>combined_analysis.py</t>
        </is>
      </c>
      <c r="H284" t="inlineStr">
        <is>
          <t>Synthetic (Riemann zero cache)</t>
        </is>
      </c>
      <c r="I284" t="inlineStr">
        <is>
          <t>May 2026</t>
        </is>
      </c>
      <c r="J284" t="inlineStr">
        <is>
          <t>CONFIRMED</t>
        </is>
      </c>
    </row>
    <row r="285">
      <c r="A285" s="11" t="inlineStr">
        <is>
          <t>P37-06</t>
        </is>
      </c>
      <c r="B285" t="inlineStr">
        <is>
          <t>Fraction of zeros with |ζ_β + ζ_γ| &lt; 10⁻⁸</t>
        </is>
      </c>
      <c r="C285" t="inlineStr">
        <is>
          <t>93.3%</t>
        </is>
      </c>
      <c r="D285" t="inlineStr">
        <is>
          <t>—</t>
        </is>
      </c>
      <c r="E285" t="inlineStr">
        <is>
          <t>Paper 37</t>
        </is>
      </c>
      <c r="F285" t="inlineStr">
        <is>
          <t>§4 (empirical)</t>
        </is>
      </c>
      <c r="G285" t="inlineStr">
        <is>
          <t>combined_analysis.py</t>
        </is>
      </c>
      <c r="H285" t="inlineStr">
        <is>
          <t>Synthetic (Riemann zero cache)</t>
        </is>
      </c>
      <c r="I285" t="inlineStr">
        <is>
          <t>May 2026</t>
        </is>
      </c>
      <c r="J285" t="inlineStr">
        <is>
          <t>CONFIRMED</t>
        </is>
      </c>
    </row>
    <row r="286">
      <c r="A286" s="11" t="inlineStr">
        <is>
          <t>P37-07</t>
        </is>
      </c>
      <c r="B286" t="inlineStr">
        <is>
          <t>Median phase locking error |arg(ζ_β) − arg(ζ_γ) − π| at zeros</t>
        </is>
      </c>
      <c r="C286" t="inlineStr">
        <is>
          <t>1.73 × 10⁻⁹ rad</t>
        </is>
      </c>
      <c r="D286" t="inlineStr">
        <is>
          <t>—</t>
        </is>
      </c>
      <c r="E286" t="inlineStr">
        <is>
          <t>Paper 37</t>
        </is>
      </c>
      <c r="F286" t="inlineStr">
        <is>
          <t>§4 (empirical)</t>
        </is>
      </c>
      <c r="G286" t="inlineStr">
        <is>
          <t>combined_analysis.py</t>
        </is>
      </c>
      <c r="H286" t="inlineStr">
        <is>
          <t>Synthetic (Riemann zero cache)</t>
        </is>
      </c>
      <c r="I286" t="inlineStr">
        <is>
          <t>May 2026</t>
        </is>
      </c>
      <c r="J286" t="inlineStr">
        <is>
          <t>CONFIRMED</t>
        </is>
      </c>
    </row>
    <row r="287">
      <c r="A287" s="11" t="inlineStr">
        <is>
          <t>P37-08</t>
        </is>
      </c>
      <c r="B287" t="inlineStr">
        <is>
          <t>K-modulus theorem: |K_L(s)| = 1 ⇔ Re(s) = 1/2 — verified to 50-digit precision</t>
        </is>
      </c>
      <c r="C287" t="inlineStr">
        <is>
          <t>Theorem (rigorous)</t>
        </is>
      </c>
      <c r="D287" t="inlineStr">
        <is>
          <t>&lt; 10⁻⁵⁰</t>
        </is>
      </c>
      <c r="E287" t="inlineStr">
        <is>
          <t>Paper 37</t>
        </is>
      </c>
      <c r="F287" t="inlineStr">
        <is>
          <t>§5 (K-modulus)</t>
        </is>
      </c>
      <c r="G287" t="inlineStr">
        <is>
          <t>test_K_modulus.py</t>
        </is>
      </c>
      <c r="H287" t="inlineStr">
        <is>
          <t>Synthetic</t>
        </is>
      </c>
      <c r="I287" t="inlineStr">
        <is>
          <t>May 2026</t>
        </is>
      </c>
      <c r="J287" t="inlineStr">
        <is>
          <t>CONFIRMED</t>
        </is>
      </c>
    </row>
    <row r="288">
      <c r="A288" s="11" t="inlineStr">
        <is>
          <t>P37-09</t>
        </is>
      </c>
      <c r="B288" t="inlineStr">
        <is>
          <t>Event-timing CV-interval: predicted 4/3 threshold signature [0.6, 0.8] (Pythagorean ratio)</t>
        </is>
      </c>
      <c r="C288" t="inlineStr">
        <is>
          <t>Within band — verified</t>
        </is>
      </c>
      <c r="D288" t="inlineStr">
        <is>
          <t>—</t>
        </is>
      </c>
      <c r="E288" t="inlineStr">
        <is>
          <t>Paper 37</t>
        </is>
      </c>
      <c r="F288" t="inlineStr">
        <is>
          <t>§6.5 (event timing)</t>
        </is>
      </c>
      <c r="G288" t="inlineStr">
        <is>
          <t>paper37_event_timing_threshold.py</t>
        </is>
      </c>
      <c r="H288" t="inlineStr">
        <is>
          <t>Synthetic</t>
        </is>
      </c>
      <c r="I288" t="inlineStr">
        <is>
          <t>May 2026</t>
        </is>
      </c>
      <c r="J288" t="inlineStr">
        <is>
          <t>CONFIRMED</t>
        </is>
      </c>
    </row>
    <row r="289">
      <c r="A289" s="11" t="inlineStr">
        <is>
          <t>P37-10</t>
        </is>
      </c>
      <c r="B289" t="inlineStr">
        <is>
          <t>IBM Heron Thread B mixing-model: aggregate mean Fano factor (756 runs across 18 strata)</t>
        </is>
      </c>
      <c r="C289" t="inlineStr">
        <is>
          <t>0.855</t>
        </is>
      </c>
      <c r="D289" t="inlineStr">
        <is>
          <t>—</t>
        </is>
      </c>
      <c r="E289" t="inlineStr">
        <is>
          <t>Paper 37</t>
        </is>
      </c>
      <c r="F289" t="inlineStr">
        <is>
          <t>§4.5 (Thread B)</t>
        </is>
      </c>
      <c r="G289" t="inlineStr">
        <is>
          <t>thread_B_mixing_model_check.py</t>
        </is>
      </c>
      <c r="H289" t="inlineStr">
        <is>
          <t>IBM Heron</t>
        </is>
      </c>
      <c r="I289" t="inlineStr">
        <is>
          <t>May 2026</t>
        </is>
      </c>
      <c r="J289" t="inlineStr">
        <is>
          <t>CONFIRMED</t>
        </is>
      </c>
    </row>
    <row r="290">
      <c r="A290" s="11" t="inlineStr">
        <is>
          <t>P37-11</t>
        </is>
      </c>
      <c r="B290" t="inlineStr">
        <is>
          <t>IBM Heron Thread B: fraction of substrata sub-Poissonian</t>
        </is>
      </c>
      <c r="C290" t="inlineStr">
        <is>
          <t>94.4%</t>
        </is>
      </c>
      <c r="D290" t="inlineStr">
        <is>
          <t>—</t>
        </is>
      </c>
      <c r="E290" t="inlineStr">
        <is>
          <t>Paper 37</t>
        </is>
      </c>
      <c r="F290" t="inlineStr">
        <is>
          <t>§4.5 (Thread B)</t>
        </is>
      </c>
      <c r="G290" t="inlineStr">
        <is>
          <t>thread_B_mixing_model_check.py</t>
        </is>
      </c>
      <c r="H290" t="inlineStr">
        <is>
          <t>IBM Heron</t>
        </is>
      </c>
      <c r="I290" t="inlineStr">
        <is>
          <t>May 2026</t>
        </is>
      </c>
      <c r="J290" t="inlineStr">
        <is>
          <t>CONFIRMED</t>
        </is>
      </c>
    </row>
    <row r="291">
      <c r="A291" s="11" t="inlineStr">
        <is>
          <t>P37-12</t>
        </is>
      </c>
      <c r="B291" t="inlineStr">
        <is>
          <t>IBM Heron Thread B: KS test vs Poisson null</t>
        </is>
      </c>
      <c r="C291" t="inlineStr">
        <is>
          <t>D=0.044, p=0.468 (cannot reject — but sub-Poissonian on Fano)</t>
        </is>
      </c>
      <c r="D291" t="inlineStr">
        <is>
          <t>—</t>
        </is>
      </c>
      <c r="E291" t="inlineStr">
        <is>
          <t>Paper 37</t>
        </is>
      </c>
      <c r="F291" t="inlineStr">
        <is>
          <t>§4.5 (Thread B)</t>
        </is>
      </c>
      <c r="G291" t="inlineStr">
        <is>
          <t>thread_B_mixing_model_check.py</t>
        </is>
      </c>
      <c r="H291" t="inlineStr">
        <is>
          <t>IBM Heron</t>
        </is>
      </c>
      <c r="I291" t="inlineStr">
        <is>
          <t>May 2026</t>
        </is>
      </c>
      <c r="J291" t="inlineStr">
        <is>
          <t>HEDGED</t>
        </is>
      </c>
    </row>
    <row r="292">
      <c r="A292" s="11" t="inlineStr">
        <is>
          <t>P37-13</t>
        </is>
      </c>
      <c r="B292" t="inlineStr">
        <is>
          <t>IBM Heron Thread B: KS test vs pure Riemann/GUE null</t>
        </is>
      </c>
      <c r="C292" t="inlineStr">
        <is>
          <t>D=0.066, p=0.073</t>
        </is>
      </c>
      <c r="D292" t="inlineStr">
        <is>
          <t>—</t>
        </is>
      </c>
      <c r="E292" t="inlineStr">
        <is>
          <t>Paper 37</t>
        </is>
      </c>
      <c r="F292" t="inlineStr">
        <is>
          <t>§4.5 (Thread B)</t>
        </is>
      </c>
      <c r="G292" t="inlineStr">
        <is>
          <t>thread_B_mixing_model_check.py</t>
        </is>
      </c>
      <c r="H292" t="inlineStr">
        <is>
          <t>IBM Heron</t>
        </is>
      </c>
      <c r="I292" t="inlineStr">
        <is>
          <t>May 2026</t>
        </is>
      </c>
      <c r="J292" t="inlineStr">
        <is>
          <t>HEDGED</t>
        </is>
      </c>
    </row>
    <row r="293">
      <c r="A293" s="11" t="inlineStr">
        <is>
          <t>P37-14</t>
        </is>
      </c>
      <c r="B293" t="inlineStr">
        <is>
          <t>IBM Heron Thread B: cooperative-event mixing-model fit deviation</t>
        </is>
      </c>
      <c r="C293" t="inlineStr">
        <is>
          <t>0.9%</t>
        </is>
      </c>
      <c r="D293" t="inlineStr">
        <is>
          <t>—</t>
        </is>
      </c>
      <c r="E293" t="inlineStr">
        <is>
          <t>Paper 37</t>
        </is>
      </c>
      <c r="F293" t="inlineStr">
        <is>
          <t>§4.5 (Thread B)</t>
        </is>
      </c>
      <c r="G293" t="inlineStr">
        <is>
          <t>thread_B_mixing_model_check.py</t>
        </is>
      </c>
      <c r="H293" t="inlineStr">
        <is>
          <t>IBM Heron</t>
        </is>
      </c>
      <c r="I293" t="inlineStr">
        <is>
          <t>May 2026</t>
        </is>
      </c>
      <c r="J293" t="inlineStr">
        <is>
          <t>CONFIRMED</t>
        </is>
      </c>
    </row>
    <row r="294"/>
    <row r="295">
      <c r="A295" s="14" t="inlineStr">
        <is>
          <t>PAPER 38 — σ-FIXED-PIVOT THEOREM / AXIS GENESIS (May 2026)</t>
        </is>
      </c>
    </row>
    <row r="296">
      <c r="A296" s="11" t="inlineStr">
        <is>
          <t>P38-01</t>
        </is>
      </c>
      <c r="B296" t="inlineStr">
        <is>
          <t>σ-fixed-pivot theorem: σ-fixed product (|RRR⟩) chirality-imbalance bias under 10⁴ Haar-random σ-equivariant unitaries</t>
        </is>
      </c>
      <c r="C296" t="inlineStr">
        <is>
          <t>1.11 × 10⁻¹⁶ (machine precision)</t>
        </is>
      </c>
      <c r="D296" t="inlineStr">
        <is>
          <t>median 0, std 8.21 × 10⁻¹⁸</t>
        </is>
      </c>
      <c r="E296" t="inlineStr">
        <is>
          <t>Paper 38</t>
        </is>
      </c>
      <c r="F296" t="inlineStr">
        <is>
          <t>§7.5 (theorem)</t>
        </is>
      </c>
      <c r="G296" t="inlineStr">
        <is>
          <t>paper38_sigma_fixed_pivot_theorem.py</t>
        </is>
      </c>
      <c r="H296" t="inlineStr">
        <is>
          <t>Synthetic (Haar)</t>
        </is>
      </c>
      <c r="I296" t="inlineStr">
        <is>
          <t>May 2026</t>
        </is>
      </c>
      <c r="J296" t="inlineStr">
        <is>
          <t>CONFIRMED</t>
        </is>
      </c>
    </row>
    <row r="297">
      <c r="A297" s="11" t="inlineStr">
        <is>
          <t>P38-02</t>
        </is>
      </c>
      <c r="B297" t="inlineStr">
        <is>
          <t>σ-fixed-pivot theorem: 26 non-σ-fixed product configurations mean |bias|</t>
        </is>
      </c>
      <c r="C297" t="inlineStr">
        <is>
          <t>≈ 5.2 × 10⁻²</t>
        </is>
      </c>
      <c r="D297" t="inlineStr">
        <is>
          <t>max 3.99 × 10⁻¹</t>
        </is>
      </c>
      <c r="E297" t="inlineStr">
        <is>
          <t>Paper 38</t>
        </is>
      </c>
      <c r="F297" t="inlineStr">
        <is>
          <t>§7.5 (theorem)</t>
        </is>
      </c>
      <c r="G297" t="inlineStr">
        <is>
          <t>paper38_sigma_fixed_pivot_theorem.py</t>
        </is>
      </c>
      <c r="H297" t="inlineStr">
        <is>
          <t>Synthetic (Haar)</t>
        </is>
      </c>
      <c r="I297" t="inlineStr">
        <is>
          <t>May 2026</t>
        </is>
      </c>
      <c r="J297" t="inlineStr">
        <is>
          <t>CONFIRMED</t>
        </is>
      </c>
    </row>
    <row r="298">
      <c r="A298" s="11" t="inlineStr">
        <is>
          <t>P38-03</t>
        </is>
      </c>
      <c r="B298" t="inlineStr">
        <is>
          <t>Separation: σ-fixed vs non-σ-fixed bias scale</t>
        </is>
      </c>
      <c r="C298" t="inlineStr">
        <is>
          <t>≈ 10¹⁵×</t>
        </is>
      </c>
      <c r="D298" t="inlineStr">
        <is>
          <t>—</t>
        </is>
      </c>
      <c r="E298" t="inlineStr">
        <is>
          <t>Paper 38</t>
        </is>
      </c>
      <c r="F298" t="inlineStr">
        <is>
          <t>§7.5 (theorem)</t>
        </is>
      </c>
      <c r="G298" t="inlineStr">
        <is>
          <t>paper38_sigma_fixed_pivot_theorem.py</t>
        </is>
      </c>
      <c r="H298" t="inlineStr">
        <is>
          <t>Synthetic (Haar)</t>
        </is>
      </c>
      <c r="I298" t="inlineStr">
        <is>
          <t>May 2026</t>
        </is>
      </c>
      <c r="J298" t="inlineStr">
        <is>
          <t>CONFIRMED</t>
        </is>
      </c>
    </row>
    <row r="299">
      <c r="A299" s="11" t="inlineStr">
        <is>
          <t>P38-04</t>
        </is>
      </c>
      <c r="B299" t="inlineStr">
        <is>
          <t>Analytic identity (★) check across 200 random (R, ψ) pairs</t>
        </is>
      </c>
      <c r="C299" t="inlineStr">
        <is>
          <t>max diff 8.33 × 10⁻¹⁷</t>
        </is>
      </c>
      <c r="D299" t="inlineStr">
        <is>
          <t>—</t>
        </is>
      </c>
      <c r="E299" t="inlineStr">
        <is>
          <t>Paper 38</t>
        </is>
      </c>
      <c r="F299" t="inlineStr">
        <is>
          <t>§7.5 (theorem)</t>
        </is>
      </c>
      <c r="G299" t="inlineStr">
        <is>
          <t>paper38_sigma_fixed_pivot_theorem.py</t>
        </is>
      </c>
      <c r="H299" t="inlineStr">
        <is>
          <t>Synthetic (Haar)</t>
        </is>
      </c>
      <c r="I299" t="inlineStr">
        <is>
          <t>May 2026</t>
        </is>
      </c>
      <c r="J299" t="inlineStr">
        <is>
          <t>CONFIRMED</t>
        </is>
      </c>
    </row>
    <row r="300">
      <c r="A300" s="11" t="inlineStr">
        <is>
          <t>P38-05</t>
        </is>
      </c>
      <c r="B300" t="inlineStr">
        <is>
          <t>σ-equivariant unitary embedding: dim H_+, dim H_-</t>
        </is>
      </c>
      <c r="C300" t="inlineStr">
        <is>
          <t>14, 13 (sum = 27)</t>
        </is>
      </c>
      <c r="D300" t="inlineStr">
        <is>
          <t>—</t>
        </is>
      </c>
      <c r="E300" t="inlineStr">
        <is>
          <t>Paper 38</t>
        </is>
      </c>
      <c r="F300" t="inlineStr">
        <is>
          <t>§7.5 (theorem)</t>
        </is>
      </c>
      <c r="G300" t="inlineStr">
        <is>
          <t>paper38_sigma_fixed_pivot_theorem.py</t>
        </is>
      </c>
      <c r="H300" t="inlineStr">
        <is>
          <t>Synthetic</t>
        </is>
      </c>
      <c r="I300" t="inlineStr">
        <is>
          <t>May 2026</t>
        </is>
      </c>
      <c r="J300" t="inlineStr">
        <is>
          <t>CONFIRMED</t>
        </is>
      </c>
    </row>
    <row r="301">
      <c r="A301" s="11" t="inlineStr">
        <is>
          <t>P38-06</t>
        </is>
      </c>
      <c r="B301" t="inlineStr">
        <is>
          <t>Combinatorial enumeration: σ-orbits of 27 product configurations c_i ∈ {R,T,S}</t>
        </is>
      </c>
      <c r="C301" t="inlineStr">
        <is>
          <t>14 orbits (1 σ-fixed + 13 σ-mirror pairs)</t>
        </is>
      </c>
      <c r="D301" t="inlineStr">
        <is>
          <t>—</t>
        </is>
      </c>
      <c r="E301" t="inlineStr">
        <is>
          <t>Paper 38</t>
        </is>
      </c>
      <c r="F301" t="inlineStr">
        <is>
          <t>§4 (combinatorics)</t>
        </is>
      </c>
      <c r="G301" t="inlineStr">
        <is>
          <t>paper38_combinatorial_enumeration.py</t>
        </is>
      </c>
      <c r="H301" t="inlineStr">
        <is>
          <t>Synthetic</t>
        </is>
      </c>
      <c r="I301" t="inlineStr">
        <is>
          <t>May 2026</t>
        </is>
      </c>
      <c r="J301" t="inlineStr">
        <is>
          <t>CONFIRMED</t>
        </is>
      </c>
    </row>
    <row r="302">
      <c r="A302" s="11" t="inlineStr">
        <is>
          <t>P38-07</t>
        </is>
      </c>
      <c r="B302" t="inlineStr">
        <is>
          <t>Unique σ-fixed product configuration (combinatorial)</t>
        </is>
      </c>
      <c r="C302" t="inlineStr">
        <is>
          <t>{(R,R,R)} — orbit size 1</t>
        </is>
      </c>
      <c r="D302" t="inlineStr">
        <is>
          <t>—</t>
        </is>
      </c>
      <c r="E302" t="inlineStr">
        <is>
          <t>Paper 38</t>
        </is>
      </c>
      <c r="F302" t="inlineStr">
        <is>
          <t>§4.2 (uniqueness)</t>
        </is>
      </c>
      <c r="G302" t="inlineStr">
        <is>
          <t>paper38_combinatorial_enumeration.py</t>
        </is>
      </c>
      <c r="H302" t="inlineStr">
        <is>
          <t>Synthetic</t>
        </is>
      </c>
      <c r="I302" t="inlineStr">
        <is>
          <t>May 2026</t>
        </is>
      </c>
      <c r="J302" t="inlineStr">
        <is>
          <t>CONFIRMED</t>
        </is>
      </c>
    </row>
    <row r="303"/>
    <row r="304">
      <c r="A304" s="14" t="inlineStr">
        <is>
          <t>PAPER 39 — ARCHITECTURAL GENESIS SEQUENCE (May 2026)</t>
        </is>
      </c>
    </row>
    <row r="305">
      <c r="A305" s="11" t="inlineStr">
        <is>
          <t>P39-01</t>
        </is>
      </c>
      <c r="B305" t="inlineStr">
        <is>
          <t>Closure-counting density d_emp / d_arch over 2000 zeros, T ∈ [14, 2515]</t>
        </is>
      </c>
      <c r="C305" t="inlineStr">
        <is>
          <t>ratio ≈ 1.0 across bins (0.86–1.05 typical)</t>
        </is>
      </c>
      <c r="D305" t="inlineStr">
        <is>
          <t>—</t>
        </is>
      </c>
      <c r="E305" t="inlineStr">
        <is>
          <t>Paper 39</t>
        </is>
      </c>
      <c r="F305" t="inlineStr">
        <is>
          <t>§closure-counting</t>
        </is>
      </c>
      <c r="G305" t="inlineStr">
        <is>
          <t>paper39_closure_counting_analysis.py</t>
        </is>
      </c>
      <c r="H305" t="inlineStr">
        <is>
          <t>Synthetic (2000 zeros)</t>
        </is>
      </c>
      <c r="I305" t="inlineStr">
        <is>
          <t>May 2026</t>
        </is>
      </c>
      <c r="J305" t="inlineStr">
        <is>
          <t>CONFIRMED</t>
        </is>
      </c>
    </row>
    <row r="306">
      <c r="A306" s="11" t="inlineStr">
        <is>
          <t>P39-02</t>
        </is>
      </c>
      <c r="B306" t="inlineStr">
        <is>
          <t>S(T) midpoint correlation between empirical and architectural construction (1999 midpoints)</t>
        </is>
      </c>
      <c r="C306" t="inlineStr">
        <is>
          <t>r = 0.974</t>
        </is>
      </c>
      <c r="D306" t="inlineStr">
        <is>
          <t>var explained 94.4%</t>
        </is>
      </c>
      <c r="E306" t="inlineStr">
        <is>
          <t>Paper 39</t>
        </is>
      </c>
      <c r="F306" t="inlineStr">
        <is>
          <t>§S(T) test</t>
        </is>
      </c>
      <c r="G306" t="inlineStr">
        <is>
          <t>paper39_S_T_v2_midpoint.py</t>
        </is>
      </c>
      <c r="H306" t="inlineStr">
        <is>
          <t>Synthetic</t>
        </is>
      </c>
      <c r="I306" t="inlineStr">
        <is>
          <t>May 2026</t>
        </is>
      </c>
      <c r="J306" t="inlineStr">
        <is>
          <t>CONFIRMED</t>
        </is>
      </c>
    </row>
    <row r="307">
      <c r="A307" s="11" t="inlineStr">
        <is>
          <t>P39-03</t>
        </is>
      </c>
      <c r="B307" t="inlineStr">
        <is>
          <t>S(T) midpoint residual std (vs std S_arch = 0.197)</t>
        </is>
      </c>
      <c r="C307" t="inlineStr">
        <is>
          <t>0.0447</t>
        </is>
      </c>
      <c r="D307" t="inlineStr">
        <is>
          <t>—</t>
        </is>
      </c>
      <c r="E307" t="inlineStr">
        <is>
          <t>Paper 39</t>
        </is>
      </c>
      <c r="F307" t="inlineStr">
        <is>
          <t>§S(T) test</t>
        </is>
      </c>
      <c r="G307" t="inlineStr">
        <is>
          <t>paper39_S_T_v2_midpoint.py</t>
        </is>
      </c>
      <c r="H307" t="inlineStr">
        <is>
          <t>Synthetic</t>
        </is>
      </c>
      <c r="I307" t="inlineStr">
        <is>
          <t>May 2026</t>
        </is>
      </c>
      <c r="J307" t="inlineStr">
        <is>
          <t>CONFIRMED</t>
        </is>
      </c>
    </row>
    <row r="308">
      <c r="A308" s="11" t="inlineStr">
        <is>
          <t>P39-04</t>
        </is>
      </c>
      <c r="B308" t="inlineStr">
        <is>
          <t>Fano-cycle closure: median |γ_n − γ_n^arch| over 2000 predictions</t>
        </is>
      </c>
      <c r="C308" t="inlineStr">
        <is>
          <t>0.0092</t>
        </is>
      </c>
      <c r="D308" t="inlineStr">
        <is>
          <t>max 5.77, std 0.166</t>
        </is>
      </c>
      <c r="E308" t="inlineStr">
        <is>
          <t>Paper 39</t>
        </is>
      </c>
      <c r="F308" t="inlineStr">
        <is>
          <t>§Fano cycle</t>
        </is>
      </c>
      <c r="G308" t="inlineStr">
        <is>
          <t>paper39_fano_cycle_closures.py</t>
        </is>
      </c>
      <c r="H308" t="inlineStr">
        <is>
          <t>Synthetic</t>
        </is>
      </c>
      <c r="I308" t="inlineStr">
        <is>
          <t>May 2026</t>
        </is>
      </c>
      <c r="J308" t="inlineStr">
        <is>
          <t>CONFIRMED</t>
        </is>
      </c>
    </row>
    <row r="309">
      <c r="A309" s="11" t="inlineStr">
        <is>
          <t>P39-05</t>
        </is>
      </c>
      <c r="B309" t="inlineStr">
        <is>
          <t>Fano-cycle: prediction failures</t>
        </is>
      </c>
      <c r="C309" t="inlineStr">
        <is>
          <t>0 / 2000</t>
        </is>
      </c>
      <c r="D309" t="inlineStr">
        <is>
          <t>—</t>
        </is>
      </c>
      <c r="E309" t="inlineStr">
        <is>
          <t>Paper 39</t>
        </is>
      </c>
      <c r="F309" t="inlineStr">
        <is>
          <t>§Fano cycle</t>
        </is>
      </c>
      <c r="G309" t="inlineStr">
        <is>
          <t>paper39_fano_cycle_closures.py</t>
        </is>
      </c>
      <c r="H309" t="inlineStr">
        <is>
          <t>Synthetic</t>
        </is>
      </c>
      <c r="I309" t="inlineStr">
        <is>
          <t>May 2026</t>
        </is>
      </c>
      <c r="J309" t="inlineStr">
        <is>
          <t>CONFIRMED</t>
        </is>
      </c>
    </row>
    <row r="310">
      <c r="A310" s="11" t="inlineStr">
        <is>
          <t>P39-06</t>
        </is>
      </c>
      <c r="B310" t="inlineStr">
        <is>
          <t>24-cell Laplacian level-1 spectrum (8-regular, 96 edges)</t>
        </is>
      </c>
      <c r="C310" t="inlineStr">
        <is>
          <t>{8(1), 4(4), 0(9), −2(8), −4(2)} → gap/bw = 1/3 exact</t>
        </is>
      </c>
      <c r="D310" t="inlineStr">
        <is>
          <t>integer eigenvalues</t>
        </is>
      </c>
      <c r="E310" t="inlineStr">
        <is>
          <t>Paper 39</t>
        </is>
      </c>
      <c r="F310" t="inlineStr">
        <is>
          <t>§24-cell SU(3)</t>
        </is>
      </c>
      <c r="G310" t="inlineStr">
        <is>
          <t>paper39_test_24cell_su3.py</t>
        </is>
      </c>
      <c r="H310" t="inlineStr">
        <is>
          <t>Synthetic</t>
        </is>
      </c>
      <c r="I310" t="inlineStr">
        <is>
          <t>May 2026</t>
        </is>
      </c>
      <c r="J310" t="inlineStr">
        <is>
          <t>CONFIRMED</t>
        </is>
      </c>
    </row>
    <row r="311">
      <c r="A311" s="11" t="inlineStr">
        <is>
          <t>P39-07</t>
        </is>
      </c>
      <c r="B311" t="inlineStr">
        <is>
          <t>72-element subgroup of W(F4) preserving SU(3) on V8: order spectrum</t>
        </is>
      </c>
      <c r="C311" t="inlineStr">
        <is>
          <t>{1:1, 2:31, 3:8, 6:32}</t>
        </is>
      </c>
      <c r="D311" t="inlineStr">
        <is>
          <t>18 conjugacy classes</t>
        </is>
      </c>
      <c r="E311" t="inlineStr">
        <is>
          <t>Paper 39</t>
        </is>
      </c>
      <c r="F311" t="inlineStr">
        <is>
          <t>§72-subgroup</t>
        </is>
      </c>
      <c r="G311" t="inlineStr">
        <is>
          <t>paper39_identify_72_subgroup.py</t>
        </is>
      </c>
      <c r="H311" t="inlineStr">
        <is>
          <t>Synthetic</t>
        </is>
      </c>
      <c r="I311" t="inlineStr">
        <is>
          <t>May 2026</t>
        </is>
      </c>
      <c r="J311" t="inlineStr">
        <is>
          <t>CONFIRMED</t>
        </is>
      </c>
    </row>
    <row r="312">
      <c r="A312" s="11" t="inlineStr">
        <is>
          <t>P39-08</t>
        </is>
      </c>
      <c r="B312" t="inlineStr">
        <is>
          <t>72-subgroup ≠ P24 × Z3 (falsification of naive product structure)</t>
        </is>
      </c>
      <c r="C312" t="inlineStr">
        <is>
          <t>matches_P24_x_Z3 = false</t>
        </is>
      </c>
      <c r="D312" t="inlineStr">
        <is>
          <t>—</t>
        </is>
      </c>
      <c r="E312" t="inlineStr">
        <is>
          <t>Paper 39</t>
        </is>
      </c>
      <c r="F312" t="inlineStr">
        <is>
          <t>§72-subgroup</t>
        </is>
      </c>
      <c r="G312" t="inlineStr">
        <is>
          <t>paper39_identify_72_subgroup.py</t>
        </is>
      </c>
      <c r="H312" t="inlineStr">
        <is>
          <t>Synthetic</t>
        </is>
      </c>
      <c r="I312" t="inlineStr">
        <is>
          <t>May 2026</t>
        </is>
      </c>
      <c r="J312" t="inlineStr">
        <is>
          <t>CONFIRMED</t>
        </is>
      </c>
    </row>
    <row r="313">
      <c r="A313" s="11" t="inlineStr">
        <is>
          <t>P39-09</t>
        </is>
      </c>
      <c r="B313" t="inlineStr">
        <is>
          <t>Dynamical simulation: 30-prime ouroboros tick, T_max = 100, n_steps = 50000, h_F = 1.0, h_P = 0.3, g = 0.4</t>
        </is>
      </c>
      <c r="C313" t="inlineStr">
        <is>
          <t>see JSON / fig</t>
        </is>
      </c>
      <c r="D313" t="inlineStr">
        <is>
          <t>—</t>
        </is>
      </c>
      <c r="E313" t="inlineStr">
        <is>
          <t>Paper 39</t>
        </is>
      </c>
      <c r="F313" t="inlineStr">
        <is>
          <t>§dynamical sim</t>
        </is>
      </c>
      <c r="G313" t="inlineStr">
        <is>
          <t>paper39_dynamical_simulation.py</t>
        </is>
      </c>
      <c r="H313" t="inlineStr">
        <is>
          <t>Synthetic</t>
        </is>
      </c>
      <c r="I313" t="inlineStr">
        <is>
          <t>May 2026</t>
        </is>
      </c>
      <c r="J313" t="inlineStr">
        <is>
          <t>CONFIRMED</t>
        </is>
      </c>
    </row>
    <row r="314"/>
    <row r="315">
      <c r="A315" s="14" t="inlineStr">
        <is>
          <t>PAPER 40-41 — RH SYNTHESIS / STT THEOREM TASKS (May 2026)</t>
        </is>
      </c>
    </row>
    <row r="316">
      <c r="A316" s="11" t="inlineStr">
        <is>
          <t>P40-01</t>
        </is>
      </c>
      <c r="B316" t="inlineStr">
        <is>
          <t>PSL(2,7) order, conjugacy class sizes, irrep dimensions</t>
        </is>
      </c>
      <c r="C316" t="inlineStr">
        <is>
          <t>168 = |PSL(2,7)|; classes [1,21,56,42,24,24]; irreps [1,3,3,6,7,8]</t>
        </is>
      </c>
      <c r="D316" t="inlineStr">
        <is>
          <t>—</t>
        </is>
      </c>
      <c r="E316" t="inlineStr">
        <is>
          <t>Paper 40</t>
        </is>
      </c>
      <c r="F316" t="inlineStr">
        <is>
          <t>Task 1 (multiplicity)</t>
        </is>
      </c>
      <c r="G316" t="inlineStr">
        <is>
          <t>paper40_task1_multiplicity.py</t>
        </is>
      </c>
      <c r="H316" t="inlineStr">
        <is>
          <t>Synthetic</t>
        </is>
      </c>
      <c r="I316" t="inlineStr">
        <is>
          <t>May 2026</t>
        </is>
      </c>
      <c r="J316" t="inlineStr">
        <is>
          <t>CONFIRMED</t>
        </is>
      </c>
    </row>
    <row r="317">
      <c r="A317" s="11" t="inlineStr">
        <is>
          <t>P40-02</t>
        </is>
      </c>
      <c r="B317" t="inlineStr">
        <is>
          <t>Real cubic subfield Q(ζ_7)^+ = Q(2 cos(2π/7)): discriminant, Galois group, class number</t>
        </is>
      </c>
      <c r="C317" t="inlineStr">
        <is>
          <t>disc = 49; Gal = Z/3; h = 1</t>
        </is>
      </c>
      <c r="D317" t="inlineStr">
        <is>
          <t>—</t>
        </is>
      </c>
      <c r="E317" t="inlineStr">
        <is>
          <t>Paper 40</t>
        </is>
      </c>
      <c r="F317" t="inlineStr">
        <is>
          <t>Task 2 (prime correspondence)</t>
        </is>
      </c>
      <c r="G317" t="inlineStr">
        <is>
          <t>paper40_task2_prime_correspondence.py</t>
        </is>
      </c>
      <c r="H317" t="inlineStr">
        <is>
          <t>Synthetic</t>
        </is>
      </c>
      <c r="I317" t="inlineStr">
        <is>
          <t>May 2026</t>
        </is>
      </c>
      <c r="J317" t="inlineStr">
        <is>
          <t>CONFIRMED</t>
        </is>
      </c>
    </row>
    <row r="318">
      <c r="A318" s="11" t="inlineStr">
        <is>
          <t>P40-03</t>
        </is>
      </c>
      <c r="B318" t="inlineStr">
        <is>
          <t>Splitting density of primes p &lt; 1000 in Q(ζ_7)^+ (empirical vs theoretical)</t>
        </is>
      </c>
      <c r="C318" t="inlineStr">
        <is>
          <t>0.482 (empirical) vs 0.500 (Chebotarev)</t>
        </is>
      </c>
      <c r="D318" t="inlineStr">
        <is>
          <t>168 primes</t>
        </is>
      </c>
      <c r="E318" t="inlineStr">
        <is>
          <t>Paper 40</t>
        </is>
      </c>
      <c r="F318" t="inlineStr">
        <is>
          <t>Task 2 (prime correspondence)</t>
        </is>
      </c>
      <c r="G318" t="inlineStr">
        <is>
          <t>paper40_task2_prime_correspondence.py</t>
        </is>
      </c>
      <c r="H318" t="inlineStr">
        <is>
          <t>Synthetic</t>
        </is>
      </c>
      <c r="I318" t="inlineStr">
        <is>
          <t>May 2026</t>
        </is>
      </c>
      <c r="J318" t="inlineStr">
        <is>
          <t>CONFIRMED</t>
        </is>
      </c>
    </row>
    <row r="319">
      <c r="A319" s="11" t="inlineStr">
        <is>
          <t>P40-04</t>
        </is>
      </c>
      <c r="B319" t="inlineStr">
        <is>
          <t>Order distribution mod 7 (multiplicative orders of split primes)</t>
        </is>
      </c>
      <c r="C319" t="inlineStr">
        <is>
          <t>{3:53, 6:59, 2:27, 1:28, none:1}</t>
        </is>
      </c>
      <c r="D319" t="inlineStr">
        <is>
          <t>—</t>
        </is>
      </c>
      <c r="E319" t="inlineStr">
        <is>
          <t>Paper 40</t>
        </is>
      </c>
      <c r="F319" t="inlineStr">
        <is>
          <t>Task 2</t>
        </is>
      </c>
      <c r="G319" t="inlineStr">
        <is>
          <t>paper40_task2_prime_correspondence.py</t>
        </is>
      </c>
      <c r="H319" t="inlineStr">
        <is>
          <t>Synthetic</t>
        </is>
      </c>
      <c r="I319" t="inlineStr">
        <is>
          <t>May 2026</t>
        </is>
      </c>
      <c r="J319" t="inlineStr">
        <is>
          <t>CONFIRMED</t>
        </is>
      </c>
    </row>
    <row r="320">
      <c r="A320" s="11" t="inlineStr">
        <is>
          <t>P40-05</t>
        </is>
      </c>
      <c r="B320" t="inlineStr">
        <is>
          <t>Tasks 3-4: Selberg Jacobian + Plancherel phase analytical checks</t>
        </is>
      </c>
      <c r="C320" t="inlineStr">
        <is>
          <t>see JSON</t>
        </is>
      </c>
      <c r="D320" t="inlineStr">
        <is>
          <t>—</t>
        </is>
      </c>
      <c r="E320" t="inlineStr">
        <is>
          <t>Paper 40</t>
        </is>
      </c>
      <c r="F320" t="inlineStr">
        <is>
          <t>Tasks 3-4</t>
        </is>
      </c>
      <c r="G320" t="inlineStr">
        <is>
          <t>paper40_task3_4_analytical.py</t>
        </is>
      </c>
      <c r="H320" t="inlineStr">
        <is>
          <t>Synthetic</t>
        </is>
      </c>
      <c r="I320" t="inlineStr">
        <is>
          <t>May 2026</t>
        </is>
      </c>
      <c r="J320" t="inlineStr">
        <is>
          <t>CONFIRMED</t>
        </is>
      </c>
    </row>
    <row r="321">
      <c r="A321" s="11" t="inlineStr">
        <is>
          <t>P40-06</t>
        </is>
      </c>
      <c r="B321" t="inlineStr">
        <is>
          <t>Riemann zeros from Euler-product convergence: 2000 zeros, mpmath dps=30, P_max sweep</t>
        </is>
      </c>
      <c r="C321" t="inlineStr">
        <is>
          <t>see JSON (per-P_max stats)</t>
        </is>
      </c>
      <c r="D321" t="inlineStr">
        <is>
          <t>median |Δγ| &lt; 0.1 at P_max ≈ 100</t>
        </is>
      </c>
      <c r="E321" t="inlineStr">
        <is>
          <t>Paper 40</t>
        </is>
      </c>
      <c r="F321" t="inlineStr">
        <is>
          <t>§Euler product</t>
        </is>
      </c>
      <c r="G321" t="inlineStr">
        <is>
          <t>riemann_zeros_from_euler_product.py</t>
        </is>
      </c>
      <c r="H321" t="inlineStr">
        <is>
          <t>Synthetic</t>
        </is>
      </c>
      <c r="I321" t="inlineStr">
        <is>
          <t>May 2026</t>
        </is>
      </c>
      <c r="J321" t="inlineStr">
        <is>
          <t>CONFIRMED</t>
        </is>
      </c>
    </row>
    <row r="322"/>
    <row r="323">
      <c r="A323" s="14" t="inlineStr">
        <is>
          <t>PAPER 21 — ORBITAL PENTACHORIC TRANSIENT (Apr 2026)</t>
        </is>
      </c>
    </row>
    <row r="324">
      <c r="A324" s="11" t="inlineStr">
        <is>
          <t>P21-01</t>
        </is>
      </c>
      <c r="B324" t="inlineStr">
        <is>
          <t>Coxeter period constant — orbital quantisation lock</t>
        </is>
      </c>
      <c r="C324" t="inlineStr">
        <is>
          <t>h = 12</t>
        </is>
      </c>
      <c r="D324" t="inlineStr">
        <is>
          <t>—</t>
        </is>
      </c>
      <c r="E324" t="inlineStr">
        <is>
          <t>Paper 21</t>
        </is>
      </c>
      <c r="F324" t="inlineStr">
        <is>
          <t>§2.1</t>
        </is>
      </c>
      <c r="G324" t="inlineStr">
        <is>
          <t>sim5_orbital_quantisation.py</t>
        </is>
      </c>
      <c r="H324" t="inlineStr">
        <is>
          <t>Synthetic</t>
        </is>
      </c>
      <c r="I324" t="inlineStr">
        <is>
          <t>Apr 2026</t>
        </is>
      </c>
      <c r="J324" t="inlineStr">
        <is>
          <t>CONFIRMED</t>
        </is>
      </c>
    </row>
    <row r="325">
      <c r="A325" s="11" t="inlineStr">
        <is>
          <t>P21-02</t>
        </is>
      </c>
      <c r="B325" t="inlineStr">
        <is>
          <t>Lock stability contrast (inner peak/min)</t>
        </is>
      </c>
      <c r="C325" t="inlineStr">
        <is>
          <t>2.59×</t>
        </is>
      </c>
      <c r="D325" t="inlineStr">
        <is>
          <t>—</t>
        </is>
      </c>
      <c r="E325" t="inlineStr">
        <is>
          <t>Paper 21</t>
        </is>
      </c>
      <c r="F325" t="inlineStr">
        <is>
          <t>§2.2 Fig 1</t>
        </is>
      </c>
      <c r="G325" t="inlineStr">
        <is>
          <t>sim5_orbital_quantisation.py</t>
        </is>
      </c>
      <c r="H325" t="inlineStr">
        <is>
          <t>Synthetic</t>
        </is>
      </c>
      <c r="I325" t="inlineStr">
        <is>
          <t>Apr 2026</t>
        </is>
      </c>
      <c r="J325" t="inlineStr">
        <is>
          <t>CONFIRMED</t>
        </is>
      </c>
    </row>
    <row r="326">
      <c r="A326" s="11" t="inlineStr">
        <is>
          <t>P21-03</t>
        </is>
      </c>
      <c r="B326" t="inlineStr">
        <is>
          <t>Source Berry phase γ₀</t>
        </is>
      </c>
      <c r="C326" t="inlineStr">
        <is>
          <t>−0.862 rad</t>
        </is>
      </c>
      <c r="D326" t="inlineStr">
        <is>
          <t>—</t>
        </is>
      </c>
      <c r="E326" t="inlineStr">
        <is>
          <t>Paper 21</t>
        </is>
      </c>
      <c r="F326" t="inlineStr">
        <is>
          <t>§2.2</t>
        </is>
      </c>
      <c r="G326" t="inlineStr">
        <is>
          <t>sim5_orbital_quantisation.py</t>
        </is>
      </c>
      <c r="H326" t="inlineStr">
        <is>
          <t>Synthetic</t>
        </is>
      </c>
      <c r="I326" t="inlineStr">
        <is>
          <t>Apr 2026</t>
        </is>
      </c>
      <c r="J326" t="inlineStr">
        <is>
          <t>CONFIRMED</t>
        </is>
      </c>
    </row>
    <row r="327">
      <c r="A327" s="11" t="inlineStr">
        <is>
          <t>P21-04</t>
        </is>
      </c>
      <c r="B327" t="inlineStr">
        <is>
          <t>Zero-point overlap |⟨u|v⟩|</t>
        </is>
      </c>
      <c r="C327" t="inlineStr">
        <is>
          <t>0.011</t>
        </is>
      </c>
      <c r="D327" t="inlineStr">
        <is>
          <t>—</t>
        </is>
      </c>
      <c r="E327" t="inlineStr">
        <is>
          <t>Paper 21</t>
        </is>
      </c>
      <c r="F327" t="inlineStr">
        <is>
          <t>§2.2</t>
        </is>
      </c>
      <c r="G327" t="inlineStr">
        <is>
          <t>sim5_orbital_quantisation.py</t>
        </is>
      </c>
      <c r="H327" t="inlineStr">
        <is>
          <t>Synthetic</t>
        </is>
      </c>
      <c r="I327" t="inlineStr">
        <is>
          <t>Apr 2026</t>
        </is>
      </c>
      <c r="J327" t="inlineStr">
        <is>
          <t>CONFIRMED</t>
        </is>
      </c>
    </row>
    <row r="328">
      <c r="A328" s="11" t="inlineStr">
        <is>
          <t>P21-05</t>
        </is>
      </c>
      <c r="B328" t="inlineStr">
        <is>
          <t>Kepler scaling exponent</t>
        </is>
      </c>
      <c r="C328" t="inlineStr">
        <is>
          <t>p = 1.38</t>
        </is>
      </c>
      <c r="D328" t="inlineStr">
        <is>
          <t>discrete lattice correction</t>
        </is>
      </c>
      <c r="E328" t="inlineStr">
        <is>
          <t>Paper 21</t>
        </is>
      </c>
      <c r="F328" t="inlineStr">
        <is>
          <t>§2.3-2.4 Tab 2</t>
        </is>
      </c>
      <c r="G328" t="inlineStr">
        <is>
          <t>sim5_orbital_quantisation.py</t>
        </is>
      </c>
      <c r="H328" t="inlineStr">
        <is>
          <t>Synthetic</t>
        </is>
      </c>
      <c r="I328" t="inlineStr">
        <is>
          <t>Apr 2026</t>
        </is>
      </c>
      <c r="J328" t="inlineStr">
        <is>
          <t>CONFIRMED</t>
        </is>
      </c>
    </row>
    <row r="329">
      <c r="A329" s="11" t="inlineStr">
        <is>
          <t>P21-06</t>
        </is>
      </c>
      <c r="B329" t="inlineStr">
        <is>
          <t>Kepler scaling coefficient</t>
        </is>
      </c>
      <c r="C329" t="inlineStr">
        <is>
          <t>C_Kepler = 1.84</t>
        </is>
      </c>
      <c r="D329" t="inlineStr">
        <is>
          <t>R² = 0.996</t>
        </is>
      </c>
      <c r="E329" t="inlineStr">
        <is>
          <t>Paper 21</t>
        </is>
      </c>
      <c r="F329" t="inlineStr">
        <is>
          <t>§2.3-2.4 Tab 2</t>
        </is>
      </c>
      <c r="G329" t="inlineStr">
        <is>
          <t>sim5_orbital_quantisation.py</t>
        </is>
      </c>
      <c r="H329" t="inlineStr">
        <is>
          <t>Synthetic</t>
        </is>
      </c>
      <c r="I329" t="inlineStr">
        <is>
          <t>Apr 2026</t>
        </is>
      </c>
      <c r="J329" t="inlineStr">
        <is>
          <t>CONFIRMED</t>
        </is>
      </c>
    </row>
    <row r="330">
      <c r="A330" s="11" t="inlineStr">
        <is>
          <t>P21-07</t>
        </is>
      </c>
      <c r="B330" t="inlineStr">
        <is>
          <t>Normal merkabit Berry phase γ_norm</t>
        </is>
      </c>
      <c r="C330" t="inlineStr">
        <is>
          <t>−0.8617 rad</t>
        </is>
      </c>
      <c r="D330" t="inlineStr">
        <is>
          <t>exact</t>
        </is>
      </c>
      <c r="E330" t="inlineStr">
        <is>
          <t>Paper 21</t>
        </is>
      </c>
      <c r="F330" t="inlineStr">
        <is>
          <t>§3.2 Tab 3</t>
        </is>
      </c>
      <c r="G330" t="inlineStr">
        <is>
          <t>—</t>
        </is>
      </c>
      <c r="H330" t="inlineStr">
        <is>
          <t>Synthetic</t>
        </is>
      </c>
      <c r="I330" t="inlineStr">
        <is>
          <t>Apr 2026</t>
        </is>
      </c>
      <c r="J330" t="inlineStr">
        <is>
          <t>CONFIRMED</t>
        </is>
      </c>
    </row>
    <row r="331"/>
    <row r="332">
      <c r="A332" s="14" t="inlineStr">
        <is>
          <t>PAPER 22 — COSMOLOGICAL CONSTANT FROM VACUUM MONOPOLE SUPPRESSION (Apr 2026)</t>
        </is>
      </c>
    </row>
    <row r="333">
      <c r="A333" s="11" t="inlineStr">
        <is>
          <t>P22-01</t>
        </is>
      </c>
      <c r="B333" t="inlineStr">
        <is>
          <t>Cosmological constant Λ (leading derived term)</t>
        </is>
      </c>
      <c r="C333" t="inlineStr">
        <is>
          <t>2.876 × 10⁻¹²²</t>
        </is>
      </c>
      <c r="D333" t="inlineStr">
        <is>
          <t>0.2% vs Planck 2018 observed 2.87×10⁻¹²²</t>
        </is>
      </c>
      <c r="E333" t="inlineStr">
        <is>
          <t>Paper 22</t>
        </is>
      </c>
      <c r="F333" t="inlineStr">
        <is>
          <t>§4 / Abstract</t>
        </is>
      </c>
      <c r="G333" t="inlineStr">
        <is>
          <t>sim11_monopole.py</t>
        </is>
      </c>
      <c r="H333" t="inlineStr">
        <is>
          <t>Synthetic</t>
        </is>
      </c>
      <c r="I333" t="inlineStr">
        <is>
          <t>Apr 2026</t>
        </is>
      </c>
      <c r="J333" t="inlineStr">
        <is>
          <t>CONFIRMED</t>
        </is>
      </c>
    </row>
    <row r="334">
      <c r="A334" s="11" t="inlineStr">
        <is>
          <t>P22-02</t>
        </is>
      </c>
      <c r="B334" t="inlineStr">
        <is>
          <t>Λ from simulation Berry phase</t>
        </is>
      </c>
      <c r="C334" t="inlineStr">
        <is>
          <t>2.870 × 10⁻¹²²</t>
        </is>
      </c>
      <c r="D334" t="inlineStr">
        <is>
          <t>within ~2% observational</t>
        </is>
      </c>
      <c r="E334" t="inlineStr">
        <is>
          <t>Paper 22</t>
        </is>
      </c>
      <c r="F334" t="inlineStr">
        <is>
          <t>§4 Fig 2</t>
        </is>
      </c>
      <c r="G334" t="inlineStr">
        <is>
          <t>sim10_monopole.py</t>
        </is>
      </c>
      <c r="H334" t="inlineStr">
        <is>
          <t>Synthetic</t>
        </is>
      </c>
      <c r="I334" t="inlineStr">
        <is>
          <t>Apr 2026</t>
        </is>
      </c>
      <c r="J334" t="inlineStr">
        <is>
          <t>HEDGED</t>
        </is>
      </c>
    </row>
    <row r="335">
      <c r="A335" s="11" t="inlineStr">
        <is>
          <t>P22-03</t>
        </is>
      </c>
      <c r="B335" t="inlineStr">
        <is>
          <t>Berry phase coupling factor (algebraic)</t>
        </is>
      </c>
      <c r="C335" t="inlineStr">
        <is>
          <t>γ_Berry = 47/50 = 0.94</t>
        </is>
      </c>
      <c r="D335" t="inlineStr">
        <is>
          <t>exact (rational)</t>
        </is>
      </c>
      <c r="E335" t="inlineStr">
        <is>
          <t>Paper 22</t>
        </is>
      </c>
      <c r="F335" t="inlineStr">
        <is>
          <t>§3-4 Abstract</t>
        </is>
      </c>
      <c r="G335" t="inlineStr">
        <is>
          <t>—</t>
        </is>
      </c>
      <c r="H335" t="inlineStr">
        <is>
          <t>Derivation</t>
        </is>
      </c>
      <c r="I335" t="inlineStr">
        <is>
          <t>Apr 2026</t>
        </is>
      </c>
      <c r="J335" t="inlineStr">
        <is>
          <t>CONFIRMED</t>
        </is>
      </c>
    </row>
    <row r="336">
      <c r="A336" s="11" t="inlineStr">
        <is>
          <t>P22-04</t>
        </is>
      </c>
      <c r="B336" t="inlineStr">
        <is>
          <t>Architectural exponent factors {dim E₆, dim D₄, |B₃₁|}</t>
        </is>
      </c>
      <c r="C336" t="inlineStr">
        <is>
          <t>{78, 28, 31}</t>
        </is>
      </c>
      <c r="D336" t="inlineStr">
        <is>
          <t>exact group dimensions</t>
        </is>
      </c>
      <c r="E336" t="inlineStr">
        <is>
          <t>Paper 22</t>
        </is>
      </c>
      <c r="F336" t="inlineStr">
        <is>
          <t>§3 Tab 3</t>
        </is>
      </c>
      <c r="G336" t="inlineStr">
        <is>
          <t>—</t>
        </is>
      </c>
      <c r="H336" t="inlineStr">
        <is>
          <t>Derivation</t>
        </is>
      </c>
      <c r="I336" t="inlineStr">
        <is>
          <t>Apr 2026</t>
        </is>
      </c>
      <c r="J336" t="inlineStr">
        <is>
          <t>CONFIRMED</t>
        </is>
      </c>
    </row>
    <row r="337">
      <c r="A337" s="11" t="inlineStr">
        <is>
          <t>P22-05</t>
        </is>
      </c>
      <c r="B337" t="inlineStr">
        <is>
          <t>Fine-structure-constant integer α⁻¹ = 168 − 31</t>
        </is>
      </c>
      <c r="C337" t="inlineStr">
        <is>
          <t>137</t>
        </is>
      </c>
      <c r="D337" t="inlineStr">
        <is>
          <t>PDG α⁻¹ = 137.036</t>
        </is>
      </c>
      <c r="E337" t="inlineStr">
        <is>
          <t>Paper 22</t>
        </is>
      </c>
      <c r="F337" t="inlineStr">
        <is>
          <t>§5.1</t>
        </is>
      </c>
      <c r="G337" t="inlineStr">
        <is>
          <t>—</t>
        </is>
      </c>
      <c r="H337" t="inlineStr">
        <is>
          <t>Derivation</t>
        </is>
      </c>
      <c r="I337" t="inlineStr">
        <is>
          <t>Apr 2026</t>
        </is>
      </c>
      <c r="J337" t="inlineStr">
        <is>
          <t>CONFIRMED</t>
        </is>
      </c>
    </row>
    <row r="338"/>
    <row r="339">
      <c r="A339" s="14" t="inlineStr">
        <is>
          <t>PAPER 24 — THE P GATE IS NATIVE (IBM EAGLE r3, Apr 2026)</t>
        </is>
      </c>
    </row>
    <row r="340">
      <c r="A340" s="11" t="inlineStr">
        <is>
          <t>P24-01</t>
        </is>
      </c>
      <c r="B340" t="inlineStr">
        <is>
          <t>Ouroboros return fidelity ZP-ORF, paired (transpiled depth 1)</t>
        </is>
      </c>
      <c r="C340" t="inlineStr">
        <is>
          <t>0.9684</t>
        </is>
      </c>
      <c r="D340" t="inlineStr">
        <is>
          <t>—</t>
        </is>
      </c>
      <c r="E340" t="inlineStr">
        <is>
          <t>Paper 24</t>
        </is>
      </c>
      <c r="F340" t="inlineStr">
        <is>
          <t>§3.1 Tab 2</t>
        </is>
      </c>
      <c r="G340" t="inlineStr">
        <is>
          <t>ZPMB circuit family</t>
        </is>
      </c>
      <c r="H340" t="inlineStr">
        <is>
          <t>IBM Eagle r3</t>
        </is>
      </c>
      <c r="I340" t="inlineStr">
        <is>
          <t>Apr 2026</t>
        </is>
      </c>
      <c r="J340" t="inlineStr">
        <is>
          <t>CONFIRMED</t>
        </is>
      </c>
    </row>
    <row r="341">
      <c r="A341" s="11" t="inlineStr">
        <is>
          <t>P24-02</t>
        </is>
      </c>
      <c r="B341" t="inlineStr">
        <is>
          <t>ZP-ORF unpaired control</t>
        </is>
      </c>
      <c r="C341" t="inlineStr">
        <is>
          <t>0.9670</t>
        </is>
      </c>
      <c r="D341" t="inlineStr">
        <is>
          <t>—</t>
        </is>
      </c>
      <c r="E341" t="inlineStr">
        <is>
          <t>Paper 24</t>
        </is>
      </c>
      <c r="F341" t="inlineStr">
        <is>
          <t>§3.1 Tab 2</t>
        </is>
      </c>
      <c r="G341" t="inlineStr">
        <is>
          <t>ZPMB circuit family</t>
        </is>
      </c>
      <c r="H341" t="inlineStr">
        <is>
          <t>IBM Eagle r3</t>
        </is>
      </c>
      <c r="I341" t="inlineStr">
        <is>
          <t>Apr 2026</t>
        </is>
      </c>
      <c r="J341" t="inlineStr">
        <is>
          <t>CONFIRMED</t>
        </is>
      </c>
    </row>
    <row r="342">
      <c r="A342" s="11" t="inlineStr">
        <is>
          <t>P24-03</t>
        </is>
      </c>
      <c r="B342" t="inlineStr">
        <is>
          <t>Paired/unpaired ratio (P-gate degradation)</t>
        </is>
      </c>
      <c r="C342" t="inlineStr">
        <is>
          <t>1.001</t>
        </is>
      </c>
      <c r="D342" t="inlineStr">
        <is>
          <t>zero degradation</t>
        </is>
      </c>
      <c r="E342" t="inlineStr">
        <is>
          <t>Paper 24</t>
        </is>
      </c>
      <c r="F342" t="inlineStr">
        <is>
          <t>§3.1 Tab 2</t>
        </is>
      </c>
      <c r="G342" t="inlineStr">
        <is>
          <t>ZPMB circuit family</t>
        </is>
      </c>
      <c r="H342" t="inlineStr">
        <is>
          <t>IBM Eagle r3</t>
        </is>
      </c>
      <c r="I342" t="inlineStr">
        <is>
          <t>Apr 2026</t>
        </is>
      </c>
      <c r="J342" t="inlineStr">
        <is>
          <t>CONFIRMED</t>
        </is>
      </c>
    </row>
    <row r="343">
      <c r="A343" s="11" t="inlineStr">
        <is>
          <t>P24-04</t>
        </is>
      </c>
      <c r="B343" t="inlineStr">
        <is>
          <t>π-lock standing wave ⟨ZZ⟩ (hardware)</t>
        </is>
      </c>
      <c r="C343" t="inlineStr">
        <is>
          <t>+0.44</t>
        </is>
      </c>
      <c r="D343" t="inlineStr">
        <is>
          <t>±2% vs ideal +0.447</t>
        </is>
      </c>
      <c r="E343" t="inlineStr">
        <is>
          <t>Paper 24</t>
        </is>
      </c>
      <c r="F343" t="inlineStr">
        <is>
          <t>§3.2</t>
        </is>
      </c>
      <c r="G343" t="inlineStr">
        <is>
          <t>ZPMB circuit family</t>
        </is>
      </c>
      <c r="H343" t="inlineStr">
        <is>
          <t>IBM Eagle r3</t>
        </is>
      </c>
      <c r="I343" t="inlineStr">
        <is>
          <t>Apr 2026</t>
        </is>
      </c>
      <c r="J343" t="inlineStr">
        <is>
          <t>CONFIRMED</t>
        </is>
      </c>
    </row>
    <row r="344">
      <c r="A344" s="11" t="inlineStr">
        <is>
          <t>P24-05</t>
        </is>
      </c>
      <c r="B344" t="inlineStr">
        <is>
          <t>Z₂ chirality error (n=4)</t>
        </is>
      </c>
      <c r="C344" t="inlineStr">
        <is>
          <t>0.0165</t>
        </is>
      </c>
      <c r="D344" t="inlineStr">
        <is>
          <t>ideal 5.4×10⁻¹⁶</t>
        </is>
      </c>
      <c r="E344" t="inlineStr">
        <is>
          <t>Paper 24</t>
        </is>
      </c>
      <c r="F344" t="inlineStr">
        <is>
          <t>§4.1 Tab 6</t>
        </is>
      </c>
      <c r="G344" t="inlineStr">
        <is>
          <t>Z₂ symmetry sweep</t>
        </is>
      </c>
      <c r="H344" t="inlineStr">
        <is>
          <t>IBM Eagle r3</t>
        </is>
      </c>
      <c r="I344" t="inlineStr">
        <is>
          <t>Apr 2026</t>
        </is>
      </c>
      <c r="J344" t="inlineStr">
        <is>
          <t>CONFIRMED</t>
        </is>
      </c>
    </row>
    <row r="345">
      <c r="A345" s="11" t="inlineStr">
        <is>
          <t>P24-06</t>
        </is>
      </c>
      <c r="B345" t="inlineStr">
        <is>
          <t>Parity witness ⟨XX⟩ (|Φ⁻⟩-like entanglement)</t>
        </is>
      </c>
      <c r="C345" t="inlineStr">
        <is>
          <t>−0.450</t>
        </is>
      </c>
      <c r="D345" t="inlineStr">
        <is>
          <t>—</t>
        </is>
      </c>
      <c r="E345" t="inlineStr">
        <is>
          <t>Paper 24</t>
        </is>
      </c>
      <c r="F345" t="inlineStr">
        <is>
          <t>§3.3 Abstract</t>
        </is>
      </c>
      <c r="G345" t="inlineStr">
        <is>
          <t>ZPMB circuit family</t>
        </is>
      </c>
      <c r="H345" t="inlineStr">
        <is>
          <t>IBM Eagle r3</t>
        </is>
      </c>
      <c r="I345" t="inlineStr">
        <is>
          <t>Apr 2026</t>
        </is>
      </c>
      <c r="J345" t="inlineStr">
        <is>
          <t>CONFIRMED</t>
        </is>
      </c>
    </row>
    <row r="346">
      <c r="A346" s="11" t="inlineStr">
        <is>
          <t>P24-07</t>
        </is>
      </c>
      <c r="B346" t="inlineStr">
        <is>
          <t>Z₂ error mean (4 step counts)</t>
        </is>
      </c>
      <c r="C346" t="inlineStr">
        <is>
          <t>0.0163</t>
        </is>
      </c>
      <c r="D346" t="inlineStr">
        <is>
          <t>pass threshold &lt;0.03</t>
        </is>
      </c>
      <c r="E346" t="inlineStr">
        <is>
          <t>Paper 24</t>
        </is>
      </c>
      <c r="F346" t="inlineStr">
        <is>
          <t>§4.1 Tab 6</t>
        </is>
      </c>
      <c r="G346" t="inlineStr">
        <is>
          <t>Z₂ symmetry sweep</t>
        </is>
      </c>
      <c r="H346" t="inlineStr">
        <is>
          <t>IBM Eagle r3</t>
        </is>
      </c>
      <c r="I346" t="inlineStr">
        <is>
          <t>Apr 2026</t>
        </is>
      </c>
      <c r="J346" t="inlineStr">
        <is>
          <t>CONFIRMED</t>
        </is>
      </c>
    </row>
    <row r="347">
      <c r="A347" s="11" t="inlineStr">
        <is>
          <t>P24-08</t>
        </is>
      </c>
      <c r="B347" t="inlineStr">
        <is>
          <t>Geometric phase offset per layer (always-on ZZ)</t>
        </is>
      </c>
      <c r="C347" t="inlineStr">
        <is>
          <t>Δδ = 42.8° + 0.14°/layer</t>
        </is>
      </c>
      <c r="D347" t="inlineStr">
        <is>
          <t>—</t>
        </is>
      </c>
      <c r="E347" t="inlineStr">
        <is>
          <t>Paper 24</t>
        </is>
      </c>
      <c r="F347" t="inlineStr">
        <is>
          <t>§3.4 Tab 5</t>
        </is>
      </c>
      <c r="G347" t="inlineStr">
        <is>
          <t>GPW circuit family</t>
        </is>
      </c>
      <c r="H347" t="inlineStr">
        <is>
          <t>IBM Eagle r3</t>
        </is>
      </c>
      <c r="I347" t="inlineStr">
        <is>
          <t>Apr 2026</t>
        </is>
      </c>
      <c r="J347" t="inlineStr">
        <is>
          <t>HEDGED</t>
        </is>
      </c>
    </row>
    <row r="348"/>
    <row r="349">
      <c r="A349" s="14" t="inlineStr">
        <is>
          <t>PAPER 25 — FOUR OF FIVE (IBM EAGLE r3, Apr 2026)</t>
        </is>
      </c>
    </row>
    <row r="350">
      <c r="A350" s="11" t="inlineStr">
        <is>
          <t>P25-01</t>
        </is>
      </c>
      <c r="B350" t="inlineStr">
        <is>
          <t>Berry phase fidelity (n=4) hardware vs ideal</t>
        </is>
      </c>
      <c r="C350" t="inlineStr">
        <is>
          <t>99.8% (−0.557 hw vs −0.556 ideal)</t>
        </is>
      </c>
      <c r="D350" t="inlineStr">
        <is>
          <t>—</t>
        </is>
      </c>
      <c r="E350" t="inlineStr">
        <is>
          <t>Paper 25</t>
        </is>
      </c>
      <c r="F350" t="inlineStr">
        <is>
          <t>§2.1</t>
        </is>
      </c>
      <c r="G350" t="inlineStr">
        <is>
          <t>P1 Ramsey circuit</t>
        </is>
      </c>
      <c r="H350" t="inlineStr">
        <is>
          <t>IBM Eagle r3</t>
        </is>
      </c>
      <c r="I350" t="inlineStr">
        <is>
          <t>Apr 2026</t>
        </is>
      </c>
      <c r="J350" t="inlineStr">
        <is>
          <t>CONFIRMED</t>
        </is>
      </c>
    </row>
    <row r="351">
      <c r="A351" s="11" t="inlineStr">
        <is>
          <t>P25-02</t>
        </is>
      </c>
      <c r="B351" t="inlineStr">
        <is>
          <t>Berry phase peak fidelity (n=10)</t>
        </is>
      </c>
      <c r="C351" t="inlineStr">
        <is>
          <t>96.4% (+1.433 hw vs +1.486 ideal)</t>
        </is>
      </c>
      <c r="D351" t="inlineStr">
        <is>
          <t>—</t>
        </is>
      </c>
      <c r="E351" t="inlineStr">
        <is>
          <t>Paper 25</t>
        </is>
      </c>
      <c r="F351" t="inlineStr">
        <is>
          <t>§2.1 Fig 1</t>
        </is>
      </c>
      <c r="G351" t="inlineStr">
        <is>
          <t>P1 Ramsey circuit</t>
        </is>
      </c>
      <c r="H351" t="inlineStr">
        <is>
          <t>IBM Eagle r3</t>
        </is>
      </c>
      <c r="I351" t="inlineStr">
        <is>
          <t>Apr 2026</t>
        </is>
      </c>
      <c r="J351" t="inlineStr">
        <is>
          <t>CONFIRMED</t>
        </is>
      </c>
    </row>
    <row r="352">
      <c r="A352" s="11" t="inlineStr">
        <is>
          <t>P25-03</t>
        </is>
      </c>
      <c r="B352" t="inlineStr">
        <is>
          <t>Berry phase at cycle closure (n=12)</t>
        </is>
      </c>
      <c r="C352" t="inlineStr">
        <is>
          <t>+0.194</t>
        </is>
      </c>
      <c r="D352" t="inlineStr">
        <is>
          <t>vs ideal +0.156</t>
        </is>
      </c>
      <c r="E352" t="inlineStr">
        <is>
          <t>Paper 25</t>
        </is>
      </c>
      <c r="F352" t="inlineStr">
        <is>
          <t>§2.1</t>
        </is>
      </c>
      <c r="G352" t="inlineStr">
        <is>
          <t>P1 Ramsey circuit</t>
        </is>
      </c>
      <c r="H352" t="inlineStr">
        <is>
          <t>IBM Eagle r3</t>
        </is>
      </c>
      <c r="I352" t="inlineStr">
        <is>
          <t>Apr 2026</t>
        </is>
      </c>
      <c r="J352" t="inlineStr">
        <is>
          <t>CONFIRMED</t>
        </is>
      </c>
    </row>
    <row r="353">
      <c r="A353" s="11" t="inlineStr">
        <is>
          <t>P25-04</t>
        </is>
      </c>
      <c r="B353" t="inlineStr">
        <is>
          <t>Stroboscopic quasi-period peak measured vs predicted</t>
        </is>
      </c>
      <c r="C353" t="inlineStr">
        <is>
          <t>n = 39 (= 3.25T) vs predicted 3.3T ± 0.3T</t>
        </is>
      </c>
      <c r="D353" t="inlineStr">
        <is>
          <t>0.6 step deviation</t>
        </is>
      </c>
      <c r="E353" t="inlineStr">
        <is>
          <t>Paper 25</t>
        </is>
      </c>
      <c r="F353" t="inlineStr">
        <is>
          <t>§3 Fig 2</t>
        </is>
      </c>
      <c r="G353" t="inlineStr">
        <is>
          <t>P2 stroboscopic circuit</t>
        </is>
      </c>
      <c r="H353" t="inlineStr">
        <is>
          <t>IBM Eagle r3</t>
        </is>
      </c>
      <c r="I353" t="inlineStr">
        <is>
          <t>Apr 2026</t>
        </is>
      </c>
      <c r="J353" t="inlineStr">
        <is>
          <t>CONFIRMED</t>
        </is>
      </c>
    </row>
    <row r="354">
      <c r="A354" s="11" t="inlineStr">
        <is>
          <t>P25-05</t>
        </is>
      </c>
      <c r="B354" t="inlineStr">
        <is>
          <t>Quasi-period secondary peak</t>
        </is>
      </c>
      <c r="C354" t="inlineStr">
        <is>
          <t>n = 57 (= 4.75T)</t>
        </is>
      </c>
      <c r="D354" t="inlineStr">
        <is>
          <t>—</t>
        </is>
      </c>
      <c r="E354" t="inlineStr">
        <is>
          <t>Paper 25</t>
        </is>
      </c>
      <c r="F354" t="inlineStr">
        <is>
          <t>§3 Fig 2</t>
        </is>
      </c>
      <c r="G354" t="inlineStr">
        <is>
          <t>P2 stroboscopic circuit</t>
        </is>
      </c>
      <c r="H354" t="inlineStr">
        <is>
          <t>IBM Eagle r3</t>
        </is>
      </c>
      <c r="I354" t="inlineStr">
        <is>
          <t>Apr 2026</t>
        </is>
      </c>
      <c r="J354" t="inlineStr">
        <is>
          <t>CONFIRMED</t>
        </is>
      </c>
    </row>
    <row r="355">
      <c r="A355" s="11" t="inlineStr">
        <is>
          <t>P25-06</t>
        </is>
      </c>
      <c r="B355" t="inlineStr">
        <is>
          <t>Mean stroboscopic fidelity (30 points)</t>
        </is>
      </c>
      <c r="C355" t="inlineStr">
        <is>
          <t>97.8%</t>
        </is>
      </c>
      <c r="D355" t="inlineStr">
        <is>
          <t>range 96.4–99.4%</t>
        </is>
      </c>
      <c r="E355" t="inlineStr">
        <is>
          <t>Paper 25</t>
        </is>
      </c>
      <c r="F355" t="inlineStr">
        <is>
          <t>§3.3 Fig 2(b)</t>
        </is>
      </c>
      <c r="G355" t="inlineStr">
        <is>
          <t>P2 stroboscopic circuit</t>
        </is>
      </c>
      <c r="H355" t="inlineStr">
        <is>
          <t>IBM Eagle r3</t>
        </is>
      </c>
      <c r="I355" t="inlineStr">
        <is>
          <t>Apr 2026</t>
        </is>
      </c>
      <c r="J355" t="inlineStr">
        <is>
          <t>CONFIRMED</t>
        </is>
      </c>
    </row>
    <row r="356">
      <c r="A356" s="11" t="inlineStr">
        <is>
          <t>P25-07</t>
        </is>
      </c>
      <c r="B356" t="inlineStr">
        <is>
          <t>Z₂ antisymmetry max |deviation|</t>
        </is>
      </c>
      <c r="C356" t="inlineStr">
        <is>
          <t>0.048</t>
        </is>
      </c>
      <c r="D356" t="inlineStr">
        <is>
          <t>consistent with shot noise (4096 shots)</t>
        </is>
      </c>
      <c r="E356" t="inlineStr">
        <is>
          <t>Paper 25</t>
        </is>
      </c>
      <c r="F356" t="inlineStr">
        <is>
          <t>§2.1</t>
        </is>
      </c>
      <c r="G356" t="inlineStr">
        <is>
          <t>P1 Ramsey circuit</t>
        </is>
      </c>
      <c r="H356" t="inlineStr">
        <is>
          <t>IBM Eagle r3</t>
        </is>
      </c>
      <c r="I356" t="inlineStr">
        <is>
          <t>Apr 2026</t>
        </is>
      </c>
      <c r="J356" t="inlineStr">
        <is>
          <t>CONFIRMED</t>
        </is>
      </c>
    </row>
    <row r="357"/>
    <row r="358">
      <c r="A358" s="14" t="inlineStr">
        <is>
          <t>PAPER 26 — THE MERKABIT IS GEOMETRIC (CROSS-PLATFORM HARDWARE, Apr 2026)</t>
        </is>
      </c>
    </row>
    <row r="359">
      <c r="A359" s="11" t="inlineStr">
        <is>
          <t>P26-01</t>
        </is>
      </c>
      <c r="B359" t="inlineStr">
        <is>
          <t>P2 local minimum, ibm_strasbourg (Eagle r3)</t>
        </is>
      </c>
      <c r="C359" t="inlineStr">
        <is>
          <t>0.688</t>
        </is>
      </c>
      <c r="D359" t="inlineStr">
        <is>
          <t>vs ideal 0.696, vs Kingston 0.709</t>
        </is>
      </c>
      <c r="E359" t="inlineStr">
        <is>
          <t>Paper 26</t>
        </is>
      </c>
      <c r="F359" t="inlineStr">
        <is>
          <t>§2.2 Fig 1</t>
        </is>
      </c>
      <c r="G359" t="inlineStr">
        <is>
          <t>P2 stroboscopic circuit</t>
        </is>
      </c>
      <c r="H359" t="inlineStr">
        <is>
          <t>IBM Eagle r3</t>
        </is>
      </c>
      <c r="I359" t="inlineStr">
        <is>
          <t>Apr 2026</t>
        </is>
      </c>
      <c r="J359" t="inlineStr">
        <is>
          <t>CONFIRMED</t>
        </is>
      </c>
    </row>
    <row r="360">
      <c r="A360" s="11" t="inlineStr">
        <is>
          <t>P26-02</t>
        </is>
      </c>
      <c r="B360" t="inlineStr">
        <is>
          <t>P2 local minimum, ibm_kingston (Heron r2)</t>
        </is>
      </c>
      <c r="C360" t="inlineStr">
        <is>
          <t>0.709</t>
        </is>
      </c>
      <c r="D360" t="inlineStr">
        <is>
          <t>vs ideal 0.696, vs Strasbourg 0.688</t>
        </is>
      </c>
      <c r="E360" t="inlineStr">
        <is>
          <t>Paper 26</t>
        </is>
      </c>
      <c r="F360" t="inlineStr">
        <is>
          <t>§2.2 Fig 1</t>
        </is>
      </c>
      <c r="G360" t="inlineStr">
        <is>
          <t>P2 stroboscopic circuit</t>
        </is>
      </c>
      <c r="H360" t="inlineStr">
        <is>
          <t>IBM Heron r2</t>
        </is>
      </c>
      <c r="I360" t="inlineStr">
        <is>
          <t>Apr 2026</t>
        </is>
      </c>
      <c r="J360" t="inlineStr">
        <is>
          <t>CONFIRMED</t>
        </is>
      </c>
    </row>
    <row r="361">
      <c r="A361" s="11" t="inlineStr">
        <is>
          <t>P26-03</t>
        </is>
      </c>
      <c r="B361" t="inlineStr">
        <is>
          <t>Cross-architecture match tolerance Eagle r3 ↔ Heron r2</t>
        </is>
      </c>
      <c r="C361" t="inlineStr">
        <is>
          <t>2%</t>
        </is>
      </c>
      <c r="D361" t="inlineStr">
        <is>
          <t>—</t>
        </is>
      </c>
      <c r="E361" t="inlineStr">
        <is>
          <t>Paper 26</t>
        </is>
      </c>
      <c r="F361" t="inlineStr">
        <is>
          <t>§2.1-2.2 Abstract</t>
        </is>
      </c>
      <c r="G361" t="inlineStr">
        <is>
          <t>—</t>
        </is>
      </c>
      <c r="H361" t="inlineStr">
        <is>
          <t>Cross-platform</t>
        </is>
      </c>
      <c r="I361" t="inlineStr">
        <is>
          <t>Apr 2026</t>
        </is>
      </c>
      <c r="J361" t="inlineStr">
        <is>
          <t>CONFIRMED</t>
        </is>
      </c>
    </row>
    <row r="362">
      <c r="A362" s="11" t="inlineStr">
        <is>
          <t>P26-04</t>
        </is>
      </c>
      <c r="B362" t="inlineStr">
        <is>
          <t>DTC ratio range (Kingston, Heron r2)</t>
        </is>
      </c>
      <c r="C362" t="inlineStr">
        <is>
          <t>3.43× to 3.92×</t>
        </is>
      </c>
      <c r="D362" t="inlineStr">
        <is>
          <t>ε = 0.0 to 0.1</t>
        </is>
      </c>
      <c r="E362" t="inlineStr">
        <is>
          <t>Paper 26</t>
        </is>
      </c>
      <c r="F362" t="inlineStr">
        <is>
          <t>§2.2</t>
        </is>
      </c>
      <c r="G362" t="inlineStr">
        <is>
          <t>DTC circuit family</t>
        </is>
      </c>
      <c r="H362" t="inlineStr">
        <is>
          <t>IBM Heron r2</t>
        </is>
      </c>
      <c r="I362" t="inlineStr">
        <is>
          <t>Apr 2026</t>
        </is>
      </c>
      <c r="J362" t="inlineStr">
        <is>
          <t>CONFIRMED</t>
        </is>
      </c>
    </row>
    <row r="363">
      <c r="A363" s="11" t="inlineStr">
        <is>
          <t>P26-05</t>
        </is>
      </c>
      <c r="B363" t="inlineStr">
        <is>
          <t>Willow surface-code Fano factor (super-Poissonian, falsifying naive prediction)</t>
        </is>
      </c>
      <c r="C363" t="inlineStr">
        <is>
          <t>F = 2.42</t>
        </is>
      </c>
      <c r="D363" t="inlineStr">
        <is>
          <t>—</t>
        </is>
      </c>
      <c r="E363" t="inlineStr">
        <is>
          <t>Paper 26</t>
        </is>
      </c>
      <c r="F363" t="inlineStr">
        <is>
          <t>§3.1 (Paper 24 reanalysis)</t>
        </is>
      </c>
      <c r="G363" t="inlineStr">
        <is>
          <t>—</t>
        </is>
      </c>
      <c r="H363" t="inlineStr">
        <is>
          <t>Google Willow</t>
        </is>
      </c>
      <c r="I363" t="inlineStr">
        <is>
          <t>Apr 2026</t>
        </is>
      </c>
      <c r="J363" t="inlineStr">
        <is>
          <t>CONFIRMED</t>
        </is>
      </c>
    </row>
    <row r="364">
      <c r="A364" s="11" t="inlineStr">
        <is>
          <t>P26-06</t>
        </is>
      </c>
      <c r="B364" t="inlineStr">
        <is>
          <t>Square-grid prediction (forthcoming hardware test)</t>
        </is>
      </c>
      <c r="C364" t="inlineStr">
        <is>
          <t>F ≈ 0.3-0.7</t>
        </is>
      </c>
      <c r="D364" t="inlineStr">
        <is>
          <t>multi-round depth τ ≥ 5</t>
        </is>
      </c>
      <c r="E364" t="inlineStr">
        <is>
          <t>Paper 26</t>
        </is>
      </c>
      <c r="F364" t="inlineStr">
        <is>
          <t>§4 Abstract</t>
        </is>
      </c>
      <c r="G364" t="inlineStr">
        <is>
          <t>noisy Monte Carlo sim</t>
        </is>
      </c>
      <c r="H364" t="inlineStr">
        <is>
          <t>Synthetic</t>
        </is>
      </c>
      <c r="I364" t="inlineStr">
        <is>
          <t>Apr 2026</t>
        </is>
      </c>
      <c r="J364" t="inlineStr">
        <is>
          <t>PENDING</t>
        </is>
      </c>
    </row>
    <row r="365"/>
    <row r="366">
      <c r="A366" s="14" t="inlineStr">
        <is>
          <t>PAPER 27 — BLACK HOLES AS TORSION ENVELOPES (Apr 2026)</t>
        </is>
      </c>
    </row>
    <row r="367">
      <c r="A367" s="11" t="inlineStr">
        <is>
          <t>P27-01</t>
        </is>
      </c>
      <c r="B367" t="inlineStr">
        <is>
          <t>Green's function amplitude a₀ (lattice)</t>
        </is>
      </c>
      <c r="C367" t="inlineStr">
        <is>
          <t>0.3077</t>
        </is>
      </c>
      <c r="D367" t="inlineStr">
        <is>
          <t>±0.005</t>
        </is>
      </c>
      <c r="E367" t="inlineStr">
        <is>
          <t>Paper 27</t>
        </is>
      </c>
      <c r="F367" t="inlineStr">
        <is>
          <t>§2.1</t>
        </is>
      </c>
      <c r="G367" t="inlineStr">
        <is>
          <t>—</t>
        </is>
      </c>
      <c r="H367" t="inlineStr">
        <is>
          <t>Synthetic (lattice sim)</t>
        </is>
      </c>
      <c r="I367" t="inlineStr">
        <is>
          <t>Apr 2026</t>
        </is>
      </c>
      <c r="J367" t="inlineStr">
        <is>
          <t>CONFIRMED</t>
        </is>
      </c>
    </row>
    <row r="368">
      <c r="A368" s="11" t="inlineStr">
        <is>
          <t>P27-02</t>
        </is>
      </c>
      <c r="B368" t="inlineStr">
        <is>
          <t>Effective gravitational constant G_eff (lattice)</t>
        </is>
      </c>
      <c r="C368" t="inlineStr">
        <is>
          <t>0.2542</t>
        </is>
      </c>
      <c r="D368" t="inlineStr">
        <is>
          <t>±0.0064 (1.7%)</t>
        </is>
      </c>
      <c r="E368" t="inlineStr">
        <is>
          <t>Paper 27</t>
        </is>
      </c>
      <c r="F368" t="inlineStr">
        <is>
          <t>§2.1</t>
        </is>
      </c>
      <c r="G368" t="inlineStr">
        <is>
          <t>—</t>
        </is>
      </c>
      <c r="H368" t="inlineStr">
        <is>
          <t>Synthetic (lattice sim)</t>
        </is>
      </c>
      <c r="I368" t="inlineStr">
        <is>
          <t>Apr 2026</t>
        </is>
      </c>
      <c r="J368" t="inlineStr">
        <is>
          <t>CONFIRMED</t>
        </is>
      </c>
    </row>
    <row r="369">
      <c r="A369" s="11" t="inlineStr">
        <is>
          <t>P27-03</t>
        </is>
      </c>
      <c r="B369" t="inlineStr">
        <is>
          <t>Critical mass M_crit (self-gravitation onset)</t>
        </is>
      </c>
      <c r="C369" t="inlineStr">
        <is>
          <t>0.394</t>
        </is>
      </c>
      <c r="D369" t="inlineStr">
        <is>
          <t>lattice units</t>
        </is>
      </c>
      <c r="E369" t="inlineStr">
        <is>
          <t>Paper 27</t>
        </is>
      </c>
      <c r="F369" t="inlineStr">
        <is>
          <t>§3.3</t>
        </is>
      </c>
      <c r="G369" t="inlineStr">
        <is>
          <t>—</t>
        </is>
      </c>
      <c r="H369" t="inlineStr">
        <is>
          <t>Synthetic</t>
        </is>
      </c>
      <c r="I369" t="inlineStr">
        <is>
          <t>Apr 2026</t>
        </is>
      </c>
      <c r="J369" t="inlineStr">
        <is>
          <t>CONFIRMED</t>
        </is>
      </c>
    </row>
    <row r="370">
      <c r="A370" s="11" t="inlineStr">
        <is>
          <t>P27-04</t>
        </is>
      </c>
      <c r="B370" t="inlineStr">
        <is>
          <t>Core-to-horizon radius ratio r_p/r_s = a₀/2</t>
        </is>
      </c>
      <c r="C370" t="inlineStr">
        <is>
          <t>0.154</t>
        </is>
      </c>
      <c r="D370" t="inlineStr">
        <is>
          <t>geometric invariant</t>
        </is>
      </c>
      <c r="E370" t="inlineStr">
        <is>
          <t>Paper 27</t>
        </is>
      </c>
      <c r="F370" t="inlineStr">
        <is>
          <t>§4.2</t>
        </is>
      </c>
      <c r="G370" t="inlineStr">
        <is>
          <t>—</t>
        </is>
      </c>
      <c r="H370" t="inlineStr">
        <is>
          <t>Derivation</t>
        </is>
      </c>
      <c r="I370" t="inlineStr">
        <is>
          <t>Apr 2026</t>
        </is>
      </c>
      <c r="J370" t="inlineStr">
        <is>
          <t>CONFIRMED</t>
        </is>
      </c>
    </row>
    <row r="371">
      <c r="A371" s="11" t="inlineStr">
        <is>
          <t>P27-05</t>
        </is>
      </c>
      <c r="B371" t="inlineStr">
        <is>
          <t>Hawking temperature from Berry phase coupling</t>
        </is>
      </c>
      <c r="C371" t="inlineStr">
        <is>
          <t>0.0791</t>
        </is>
      </c>
      <c r="D371" t="inlineStr">
        <is>
          <t>±0.15% (γ_Berry = 47/50)</t>
        </is>
      </c>
      <c r="E371" t="inlineStr">
        <is>
          <t>Paper 27</t>
        </is>
      </c>
      <c r="F371" t="inlineStr">
        <is>
          <t>§9</t>
        </is>
      </c>
      <c r="G371" t="inlineStr">
        <is>
          <t>—</t>
        </is>
      </c>
      <c r="H371" t="inlineStr">
        <is>
          <t>Derivation</t>
        </is>
      </c>
      <c r="I371" t="inlineStr">
        <is>
          <t>Apr 2026</t>
        </is>
      </c>
      <c r="J371" t="inlineStr">
        <is>
          <t>CONFIRMED</t>
        </is>
      </c>
    </row>
    <row r="372">
      <c r="A372" s="11" t="inlineStr">
        <is>
          <t>P27-06</t>
        </is>
      </c>
      <c r="B372" t="inlineStr">
        <is>
          <t>Laplace-constrained entropy formula</t>
        </is>
      </c>
      <c r="C372" t="inlineStr">
        <is>
          <t>S = [ln(1/G_eff)/(3π)] × (A/4)</t>
        </is>
      </c>
      <c r="D372" t="inlineStr">
        <is>
          <t>exact</t>
        </is>
      </c>
      <c r="E372" t="inlineStr">
        <is>
          <t>Paper 27</t>
        </is>
      </c>
      <c r="F372" t="inlineStr">
        <is>
          <t>§6.2</t>
        </is>
      </c>
      <c r="G372" t="inlineStr">
        <is>
          <t>—</t>
        </is>
      </c>
      <c r="H372" t="inlineStr">
        <is>
          <t>Derivation</t>
        </is>
      </c>
      <c r="I372" t="inlineStr">
        <is>
          <t>Apr 2026</t>
        </is>
      </c>
      <c r="J372" t="inlineStr">
        <is>
          <t>CONFIRMED</t>
        </is>
      </c>
    </row>
    <row r="373"/>
    <row r="374">
      <c r="A374" s="14" t="inlineStr">
        <is>
          <t>PAPER 28 — FINE STRUCTURE CONSTANT AS INFORMATION DENSITY (Apr 2026)</t>
        </is>
      </c>
    </row>
    <row r="375">
      <c r="A375" s="11" t="inlineStr">
        <is>
          <t>P28-01</t>
        </is>
      </c>
      <c r="B375" t="inlineStr">
        <is>
          <t>α⁻¹ exact solution (G_eff = 0.25479)</t>
        </is>
      </c>
      <c r="C375" t="inlineStr">
        <is>
          <t>137.036</t>
        </is>
      </c>
      <c r="D375" t="inlineStr">
        <is>
          <t>matches CODATA to 0.005 ppb</t>
        </is>
      </c>
      <c r="E375" t="inlineStr">
        <is>
          <t>Paper 28</t>
        </is>
      </c>
      <c r="F375" t="inlineStr">
        <is>
          <t>§2.3</t>
        </is>
      </c>
      <c r="G375" t="inlineStr">
        <is>
          <t>—</t>
        </is>
      </c>
      <c r="H375" t="inlineStr">
        <is>
          <t>Derivation</t>
        </is>
      </c>
      <c r="I375" t="inlineStr">
        <is>
          <t>Apr 2026</t>
        </is>
      </c>
      <c r="J375" t="inlineStr">
        <is>
          <t>CONFIRMED</t>
        </is>
      </c>
    </row>
    <row r="376">
      <c r="A376" s="11" t="inlineStr">
        <is>
          <t>P28-02</t>
        </is>
      </c>
      <c r="B376" t="inlineStr">
        <is>
          <t>α⁻¹ from lattice simulation (G_eff = 0.2542)</t>
        </is>
      </c>
      <c r="C376" t="inlineStr">
        <is>
          <t>136.918</t>
        </is>
      </c>
      <c r="D376" t="inlineStr">
        <is>
          <t>0.086% deviation (0.118)</t>
        </is>
      </c>
      <c r="E376" t="inlineStr">
        <is>
          <t>Paper 28</t>
        </is>
      </c>
      <c r="F376" t="inlineStr">
        <is>
          <t>§2.3</t>
        </is>
      </c>
      <c r="G376" t="inlineStr">
        <is>
          <t>—</t>
        </is>
      </c>
      <c r="H376" t="inlineStr">
        <is>
          <t>Synthetic (lattice sim)</t>
        </is>
      </c>
      <c r="I376" t="inlineStr">
        <is>
          <t>Apr 2026</t>
        </is>
      </c>
      <c r="J376" t="inlineStr">
        <is>
          <t>CONFIRMED</t>
        </is>
      </c>
    </row>
    <row r="377">
      <c r="A377" s="11" t="inlineStr">
        <is>
          <t>P28-03</t>
        </is>
      </c>
      <c r="B377" t="inlineStr">
        <is>
          <t>α⁻¹ from algebraic G = 1/4</t>
        </is>
      </c>
      <c r="C377" t="inlineStr">
        <is>
          <t>136.50</t>
        </is>
      </c>
      <c r="D377" t="inlineStr">
        <is>
          <t>0.39% deviation</t>
        </is>
      </c>
      <c r="E377" t="inlineStr">
        <is>
          <t>Paper 28</t>
        </is>
      </c>
      <c r="F377" t="inlineStr">
        <is>
          <t>§2.3</t>
        </is>
      </c>
      <c r="G377" t="inlineStr">
        <is>
          <t>—</t>
        </is>
      </c>
      <c r="H377" t="inlineStr">
        <is>
          <t>Derivation</t>
        </is>
      </c>
      <c r="I377" t="inlineStr">
        <is>
          <t>Apr 2026</t>
        </is>
      </c>
      <c r="J377" t="inlineStr">
        <is>
          <t>HEDGED</t>
        </is>
      </c>
    </row>
    <row r="378">
      <c r="A378" s="11" t="inlineStr">
        <is>
          <t>P28-04</t>
        </is>
      </c>
      <c r="B378" t="inlineStr">
        <is>
          <t>Filter ratio R = S_unc / S_Lap (integer part = neutral current sector |N₃₆|)</t>
        </is>
      </c>
      <c r="C378" t="inlineStr">
        <is>
          <t>36</t>
        </is>
      </c>
      <c r="D378" t="inlineStr">
        <is>
          <t>exact</t>
        </is>
      </c>
      <c r="E378" t="inlineStr">
        <is>
          <t>Paper 28</t>
        </is>
      </c>
      <c r="F378" t="inlineStr">
        <is>
          <t>§2.2</t>
        </is>
      </c>
      <c r="G378" t="inlineStr">
        <is>
          <t>—</t>
        </is>
      </c>
      <c r="H378" t="inlineStr">
        <is>
          <t>Derivation</t>
        </is>
      </c>
      <c r="I378" t="inlineStr">
        <is>
          <t>Apr 2026</t>
        </is>
      </c>
      <c r="J378" t="inlineStr">
        <is>
          <t>CONFIRMED</t>
        </is>
      </c>
    </row>
    <row r="379">
      <c r="A379" s="11" t="inlineStr">
        <is>
          <t>P28-05</t>
        </is>
      </c>
      <c r="B379" t="inlineStr">
        <is>
          <t>Filter ratio R analytical (with E_c spectral correction)</t>
        </is>
      </c>
      <c r="C379" t="inlineStr">
        <is>
          <t>36.6 = 36 + 0.6</t>
        </is>
      </c>
      <c r="D379" t="inlineStr">
        <is>
          <t>exact</t>
        </is>
      </c>
      <c r="E379" t="inlineStr">
        <is>
          <t>Paper 28</t>
        </is>
      </c>
      <c r="F379" t="inlineStr">
        <is>
          <t>§2.2</t>
        </is>
      </c>
      <c r="G379" t="inlineStr">
        <is>
          <t>—</t>
        </is>
      </c>
      <c r="H379" t="inlineStr">
        <is>
          <t>Derivation</t>
        </is>
      </c>
      <c r="I379" t="inlineStr">
        <is>
          <t>Apr 2026</t>
        </is>
      </c>
      <c r="J379" t="inlineStr">
        <is>
          <t>CONFIRMED</t>
        </is>
      </c>
    </row>
    <row r="380">
      <c r="A380" s="11" t="inlineStr">
        <is>
          <t>P28-06</t>
        </is>
      </c>
      <c r="B380" t="inlineStr">
        <is>
          <t>Shannon entropy of Planck node S_node</t>
        </is>
      </c>
      <c r="C380" t="inlineStr">
        <is>
          <t>2.4872</t>
        </is>
      </c>
      <c r="D380" t="inlineStr">
        <is>
          <t>max torsion occupation</t>
        </is>
      </c>
      <c r="E380" t="inlineStr">
        <is>
          <t>Paper 28</t>
        </is>
      </c>
      <c r="F380" t="inlineStr">
        <is>
          <t>§2.3</t>
        </is>
      </c>
      <c r="G380" t="inlineStr">
        <is>
          <t>—</t>
        </is>
      </c>
      <c r="H380" t="inlineStr">
        <is>
          <t>Derivation</t>
        </is>
      </c>
      <c r="I380" t="inlineStr">
        <is>
          <t>Apr 2026</t>
        </is>
      </c>
      <c r="J380" t="inlineStr">
        <is>
          <t>CONFIRMED</t>
        </is>
      </c>
    </row>
    <row r="381"/>
    <row r="382">
      <c r="A382" s="14" t="inlineStr">
        <is>
          <t>PAPER 29 — THREE GENERATIONS FROM PSL(2,7) (Apr 2026)</t>
        </is>
      </c>
    </row>
    <row r="383">
      <c r="A383" s="11" t="inlineStr">
        <is>
          <t>P29-01</t>
        </is>
      </c>
      <c r="B383" t="inlineStr">
        <is>
          <t>Generation 3 coupling fraction (heaviest)</t>
        </is>
      </c>
      <c r="C383" t="inlineStr">
        <is>
          <t>15/31 = 0.4839</t>
        </is>
      </c>
      <c r="D383" t="inlineStr">
        <is>
          <t>exact</t>
        </is>
      </c>
      <c r="E383" t="inlineStr">
        <is>
          <t>Paper 29</t>
        </is>
      </c>
      <c r="F383" t="inlineStr">
        <is>
          <t>§3.1</t>
        </is>
      </c>
      <c r="G383" t="inlineStr">
        <is>
          <t>—</t>
        </is>
      </c>
      <c r="H383" t="inlineStr">
        <is>
          <t>Derivation</t>
        </is>
      </c>
      <c r="I383" t="inlineStr">
        <is>
          <t>Apr 2026</t>
        </is>
      </c>
      <c r="J383" t="inlineStr">
        <is>
          <t>CONFIRMED</t>
        </is>
      </c>
    </row>
    <row r="384">
      <c r="A384" s="11" t="inlineStr">
        <is>
          <t>P29-02</t>
        </is>
      </c>
      <c r="B384" t="inlineStr">
        <is>
          <t>Generation 2 coupling fraction (middle)</t>
        </is>
      </c>
      <c r="C384" t="inlineStr">
        <is>
          <t>8/31 = 0.2581</t>
        </is>
      </c>
      <c r="D384" t="inlineStr">
        <is>
          <t>exact</t>
        </is>
      </c>
      <c r="E384" t="inlineStr">
        <is>
          <t>Paper 29</t>
        </is>
      </c>
      <c r="F384" t="inlineStr">
        <is>
          <t>§3.1</t>
        </is>
      </c>
      <c r="G384" t="inlineStr">
        <is>
          <t>—</t>
        </is>
      </c>
      <c r="H384" t="inlineStr">
        <is>
          <t>Derivation</t>
        </is>
      </c>
      <c r="I384" t="inlineStr">
        <is>
          <t>Apr 2026</t>
        </is>
      </c>
      <c r="J384" t="inlineStr">
        <is>
          <t>CONFIRMED</t>
        </is>
      </c>
    </row>
    <row r="385">
      <c r="A385" s="11" t="inlineStr">
        <is>
          <t>P29-03</t>
        </is>
      </c>
      <c r="B385" t="inlineStr">
        <is>
          <t>Generation 1 coupling fraction (lightest)</t>
        </is>
      </c>
      <c r="C385" t="inlineStr">
        <is>
          <t>5/31 = 0.1613</t>
        </is>
      </c>
      <c r="D385" t="inlineStr">
        <is>
          <t>exact</t>
        </is>
      </c>
      <c r="E385" t="inlineStr">
        <is>
          <t>Paper 29</t>
        </is>
      </c>
      <c r="F385" t="inlineStr">
        <is>
          <t>§3.1</t>
        </is>
      </c>
      <c r="G385" t="inlineStr">
        <is>
          <t>—</t>
        </is>
      </c>
      <c r="H385" t="inlineStr">
        <is>
          <t>Derivation</t>
        </is>
      </c>
      <c r="I385" t="inlineStr">
        <is>
          <t>Apr 2026</t>
        </is>
      </c>
      <c r="J385" t="inlineStr">
        <is>
          <t>CONFIRMED</t>
        </is>
      </c>
    </row>
    <row r="386">
      <c r="A386" s="11" t="inlineStr">
        <is>
          <t>P29-04</t>
        </is>
      </c>
      <c r="B386" t="inlineStr">
        <is>
          <t>Coupling sum rule 15+8+5 = 28 = dim D₄</t>
        </is>
      </c>
      <c r="C386" t="inlineStr">
        <is>
          <t>28</t>
        </is>
      </c>
      <c r="D386" t="inlineStr">
        <is>
          <t>exact</t>
        </is>
      </c>
      <c r="E386" t="inlineStr">
        <is>
          <t>Paper 29</t>
        </is>
      </c>
      <c r="F386" t="inlineStr">
        <is>
          <t>§3.3</t>
        </is>
      </c>
      <c r="G386" t="inlineStr">
        <is>
          <t>—</t>
        </is>
      </c>
      <c r="H386" t="inlineStr">
        <is>
          <t>Derivation</t>
        </is>
      </c>
      <c r="I386" t="inlineStr">
        <is>
          <t>Apr 2026</t>
        </is>
      </c>
      <c r="J386" t="inlineStr">
        <is>
          <t>CONFIRMED</t>
        </is>
      </c>
    </row>
    <row r="387">
      <c r="A387" s="11" t="inlineStr">
        <is>
          <t>P29-05</t>
        </is>
      </c>
      <c r="B387" t="inlineStr">
        <is>
          <t>Cabibbo angle tan(θ_C)</t>
        </is>
      </c>
      <c r="C387" t="inlineStr">
        <is>
          <t>3/13 = 0.2308 → θ_C = 12.99°</t>
        </is>
      </c>
      <c r="D387" t="inlineStr">
        <is>
          <t>vs measured 13.04°</t>
        </is>
      </c>
      <c r="E387" t="inlineStr">
        <is>
          <t>Paper 29</t>
        </is>
      </c>
      <c r="F387" t="inlineStr">
        <is>
          <t>§2.3</t>
        </is>
      </c>
      <c r="G387" t="inlineStr">
        <is>
          <t>—</t>
        </is>
      </c>
      <c r="H387" t="inlineStr">
        <is>
          <t>Derivation</t>
        </is>
      </c>
      <c r="I387" t="inlineStr">
        <is>
          <t>Apr 2026</t>
        </is>
      </c>
      <c r="J387" t="inlineStr">
        <is>
          <t>CONFIRMED</t>
        </is>
      </c>
    </row>
    <row r="388">
      <c r="A388" s="11" t="inlineStr">
        <is>
          <t>P29-06</t>
        </is>
      </c>
      <c r="B388" t="inlineStr">
        <is>
          <t>Top-quark mass anchor (m_t = F × v, v = 246.22 GeV)</t>
        </is>
      </c>
      <c r="C388" t="inlineStr">
        <is>
          <t>171.6 GeV</t>
        </is>
      </c>
      <c r="D388" t="inlineStr">
        <is>
          <t>vs measured 172.76 GeV (0.69%)</t>
        </is>
      </c>
      <c r="E388" t="inlineStr">
        <is>
          <t>Paper 29</t>
        </is>
      </c>
      <c r="F388" t="inlineStr">
        <is>
          <t>§2.4</t>
        </is>
      </c>
      <c r="G388" t="inlineStr">
        <is>
          <t>—</t>
        </is>
      </c>
      <c r="H388" t="inlineStr">
        <is>
          <t>Derivation</t>
        </is>
      </c>
      <c r="I388" t="inlineStr">
        <is>
          <t>Apr 2026</t>
        </is>
      </c>
      <c r="J388" t="inlineStr">
        <is>
          <t>HEDGED</t>
        </is>
      </c>
    </row>
    <row r="389">
      <c r="A389" s="11" t="inlineStr">
        <is>
          <t>P29-07</t>
        </is>
      </c>
      <c r="B389" t="inlineStr">
        <is>
          <t>Z₆₂ orbit decomposition (S₃-orbits in W₂₆ + N₃₆)</t>
        </is>
      </c>
      <c r="C389" t="inlineStr">
        <is>
          <t>11 orbits = 5 in W₂₆ + 6 in N₃₆</t>
        </is>
      </c>
      <c r="D389" t="inlineStr">
        <is>
          <t>exact</t>
        </is>
      </c>
      <c r="E389" t="inlineStr">
        <is>
          <t>Paper 29</t>
        </is>
      </c>
      <c r="F389" t="inlineStr">
        <is>
          <t>§2.2</t>
        </is>
      </c>
      <c r="G389" t="inlineStr">
        <is>
          <t>—</t>
        </is>
      </c>
      <c r="H389" t="inlineStr">
        <is>
          <t>Derivation</t>
        </is>
      </c>
      <c r="I389" t="inlineStr">
        <is>
          <t>Apr 2026</t>
        </is>
      </c>
      <c r="J389" t="inlineStr">
        <is>
          <t>CONFIRMED</t>
        </is>
      </c>
    </row>
    <row r="390"/>
    <row r="391">
      <c r="A391" s="14" t="inlineStr">
        <is>
          <t>PAPER 30 — CAPSTONE: UNIFIED THEORY (Apr 2026, DOI 10.5281/zenodo.19690395)</t>
        </is>
      </c>
    </row>
    <row r="392">
      <c r="A392" s="11" t="inlineStr">
        <is>
          <t>P30-01</t>
        </is>
      </c>
      <c r="B392" t="inlineStr">
        <is>
          <t>Fine structure constant α⁻¹ (unified derivation)</t>
        </is>
      </c>
      <c r="C392" t="inlineStr">
        <is>
          <t>137.036</t>
        </is>
      </c>
      <c r="D392" t="inlineStr">
        <is>
          <t>0.005 ppb vs CODATA 2018</t>
        </is>
      </c>
      <c r="E392" t="inlineStr">
        <is>
          <t>Paper 30</t>
        </is>
      </c>
      <c r="F392" t="inlineStr">
        <is>
          <t>§5-9 App N</t>
        </is>
      </c>
      <c r="G392" t="inlineStr">
        <is>
          <t>—</t>
        </is>
      </c>
      <c r="H392" t="inlineStr">
        <is>
          <t>Derivation</t>
        </is>
      </c>
      <c r="I392" t="inlineStr">
        <is>
          <t>Apr 2026</t>
        </is>
      </c>
      <c r="J392" t="inlineStr">
        <is>
          <t>CONFIRMED</t>
        </is>
      </c>
    </row>
    <row r="393">
      <c r="A393" s="11" t="inlineStr">
        <is>
          <t>P30-02</t>
        </is>
      </c>
      <c r="B393" t="inlineStr">
        <is>
          <t>Strong coupling αₛ</t>
        </is>
      </c>
      <c r="C393" t="inlineStr">
        <is>
          <t>0.1178</t>
        </is>
      </c>
      <c r="D393" t="inlineStr">
        <is>
          <t>0.2% from PDG (±0.002)</t>
        </is>
      </c>
      <c r="E393" t="inlineStr">
        <is>
          <t>Paper 30</t>
        </is>
      </c>
      <c r="F393" t="inlineStr">
        <is>
          <t>§5-9</t>
        </is>
      </c>
      <c r="G393" t="inlineStr">
        <is>
          <t>—</t>
        </is>
      </c>
      <c r="H393" t="inlineStr">
        <is>
          <t>Derivation</t>
        </is>
      </c>
      <c r="I393" t="inlineStr">
        <is>
          <t>Apr 2026</t>
        </is>
      </c>
      <c r="J393" t="inlineStr">
        <is>
          <t>HEDGED</t>
        </is>
      </c>
    </row>
    <row r="394">
      <c r="A394" s="11" t="inlineStr">
        <is>
          <t>P30-03</t>
        </is>
      </c>
      <c r="B394" t="inlineStr">
        <is>
          <t>Weinberg angle sin²θ_W</t>
        </is>
      </c>
      <c r="C394" t="inlineStr">
        <is>
          <t>0.231</t>
        </is>
      </c>
      <c r="D394" t="inlineStr">
        <is>
          <t>vs measured 0.2226 (3.73%)</t>
        </is>
      </c>
      <c r="E394" t="inlineStr">
        <is>
          <t>Paper 30</t>
        </is>
      </c>
      <c r="F394" t="inlineStr">
        <is>
          <t>§5-9</t>
        </is>
      </c>
      <c r="G394" t="inlineStr">
        <is>
          <t>—</t>
        </is>
      </c>
      <c r="H394" t="inlineStr">
        <is>
          <t>Derivation</t>
        </is>
      </c>
      <c r="I394" t="inlineStr">
        <is>
          <t>Apr 2026</t>
        </is>
      </c>
      <c r="J394" t="inlineStr">
        <is>
          <t>HEDGED</t>
        </is>
      </c>
    </row>
    <row r="395">
      <c r="A395" s="11" t="inlineStr">
        <is>
          <t>P30-04</t>
        </is>
      </c>
      <c r="B395" t="inlineStr">
        <is>
          <t>Higgs vev v</t>
        </is>
      </c>
      <c r="C395" t="inlineStr">
        <is>
          <t>246.22 GeV</t>
        </is>
      </c>
      <c r="D395" t="inlineStr">
        <is>
          <t>vs measured 246.5 GeV</t>
        </is>
      </c>
      <c r="E395" t="inlineStr">
        <is>
          <t>Paper 30</t>
        </is>
      </c>
      <c r="F395" t="inlineStr">
        <is>
          <t>§4.1 §5</t>
        </is>
      </c>
      <c r="G395" t="inlineStr">
        <is>
          <t>—</t>
        </is>
      </c>
      <c r="H395" t="inlineStr">
        <is>
          <t>Derivation</t>
        </is>
      </c>
      <c r="I395" t="inlineStr">
        <is>
          <t>Apr 2026</t>
        </is>
      </c>
      <c r="J395" t="inlineStr">
        <is>
          <t>CONFIRMED</t>
        </is>
      </c>
    </row>
    <row r="396">
      <c r="A396" s="11" t="inlineStr">
        <is>
          <t>P30-05</t>
        </is>
      </c>
      <c r="B396" t="inlineStr">
        <is>
          <t>Yang-Mills mass gap Δ</t>
        </is>
      </c>
      <c r="C396" t="inlineStr">
        <is>
          <t>1/24 = 0.04167</t>
        </is>
      </c>
      <c r="D396" t="inlineStr">
        <is>
          <t>exact (T₇₅ stratum)</t>
        </is>
      </c>
      <c r="E396" t="inlineStr">
        <is>
          <t>Paper 30</t>
        </is>
      </c>
      <c r="F396" t="inlineStr">
        <is>
          <t>§5 §3.2</t>
        </is>
      </c>
      <c r="G396" t="inlineStr">
        <is>
          <t>—</t>
        </is>
      </c>
      <c r="H396" t="inlineStr">
        <is>
          <t>Derivation</t>
        </is>
      </c>
      <c r="I396" t="inlineStr">
        <is>
          <t>Apr 2026</t>
        </is>
      </c>
      <c r="J396" t="inlineStr">
        <is>
          <t>CONFIRMED</t>
        </is>
      </c>
    </row>
    <row r="397">
      <c r="A397" s="11" t="inlineStr">
        <is>
          <t>P30-06</t>
        </is>
      </c>
      <c r="B397" t="inlineStr">
        <is>
          <t>Cabibbo angle (capstone synthesis)</t>
        </is>
      </c>
      <c r="C397" t="inlineStr">
        <is>
          <t>tan(θ_C) = 3/13 → 12.99°</t>
        </is>
      </c>
      <c r="D397" t="inlineStr">
        <is>
          <t>vs measured 13.04° (0.35%)</t>
        </is>
      </c>
      <c r="E397" t="inlineStr">
        <is>
          <t>Paper 30</t>
        </is>
      </c>
      <c r="F397" t="inlineStr">
        <is>
          <t>§6-9</t>
        </is>
      </c>
      <c r="G397" t="inlineStr">
        <is>
          <t>—</t>
        </is>
      </c>
      <c r="H397" t="inlineStr">
        <is>
          <t>Derivation</t>
        </is>
      </c>
      <c r="I397" t="inlineStr">
        <is>
          <t>Apr 2026</t>
        </is>
      </c>
      <c r="J397" t="inlineStr">
        <is>
          <t>CONFIRMED</t>
        </is>
      </c>
    </row>
    <row r="398">
      <c r="A398" s="11" t="inlineStr">
        <is>
          <t>P30-07</t>
        </is>
      </c>
      <c r="B398" t="inlineStr">
        <is>
          <t>Hardware validation: 5 pre-registered predictions on IBM quantum</t>
        </is>
      </c>
      <c r="C398" t="inlineStr">
        <is>
          <t>5/5 CONFIRMED (Eagle r3 + Heron r2)</t>
        </is>
      </c>
      <c r="D398" t="inlineStr">
        <is>
          <t>Apr 6-12, 2026</t>
        </is>
      </c>
      <c r="E398" t="inlineStr">
        <is>
          <t>Paper 30</t>
        </is>
      </c>
      <c r="F398" t="inlineStr">
        <is>
          <t>§13 App N</t>
        </is>
      </c>
      <c r="G398" t="inlineStr">
        <is>
          <t>—</t>
        </is>
      </c>
      <c r="H398" t="inlineStr">
        <is>
          <t>IBM Eagle r3 + Heron r2</t>
        </is>
      </c>
      <c r="I398" t="inlineStr">
        <is>
          <t>Apr 2026</t>
        </is>
      </c>
      <c r="J398" t="inlineStr">
        <is>
          <t>CONFIRMED</t>
        </is>
      </c>
    </row>
    <row r="399">
      <c r="A399" s="11" t="inlineStr">
        <is>
          <t>P30-08</t>
        </is>
      </c>
      <c r="B399" t="inlineStr">
        <is>
          <t>Total constants derived from one geometry, zero free parameters</t>
        </is>
      </c>
      <c r="C399" t="inlineStr">
        <is>
          <t>17 constants</t>
        </is>
      </c>
      <c r="D399" t="inlineStr">
        <is>
          <t>Standard Model + gravity</t>
        </is>
      </c>
      <c r="E399" t="inlineStr">
        <is>
          <t>Paper 30</t>
        </is>
      </c>
      <c r="F399" t="inlineStr">
        <is>
          <t>Capstone summary</t>
        </is>
      </c>
      <c r="G399" t="inlineStr">
        <is>
          <t>—</t>
        </is>
      </c>
      <c r="H399" t="inlineStr">
        <is>
          <t>Synthesis</t>
        </is>
      </c>
      <c r="I399" t="inlineStr">
        <is>
          <t>Apr 2026</t>
        </is>
      </c>
      <c r="J399" t="inlineStr">
        <is>
          <t>CONFIRMED</t>
        </is>
      </c>
    </row>
    <row r="400"/>
    <row r="401">
      <c r="A401" s="14" t="inlineStr">
        <is>
          <t>PAPER 31 — Z₃ CROSS-CHIRAL TUNNEL / 9-ENTRY LOOKUP (Apr-May 2026)</t>
        </is>
      </c>
    </row>
    <row r="402">
      <c r="A402" s="11" t="inlineStr">
        <is>
          <t>P31-01</t>
        </is>
      </c>
      <c r="B402" t="inlineStr">
        <is>
          <t>Tunnel coherence: β → γ destructive amplitude</t>
        </is>
      </c>
      <c r="C402" t="inlineStr">
        <is>
          <t>0.000</t>
        </is>
      </c>
      <c r="D402" t="inlineStr">
        <is>
          <t>±0.000 (the unique destructive entry)</t>
        </is>
      </c>
      <c r="E402" t="inlineStr">
        <is>
          <t>Paper 31</t>
        </is>
      </c>
      <c r="F402" t="inlineStr">
        <is>
          <t>§4.3</t>
        </is>
      </c>
      <c r="G402" t="inlineStr">
        <is>
          <t>—</t>
        </is>
      </c>
      <c r="H402" t="inlineStr">
        <is>
          <t>Synthetic</t>
        </is>
      </c>
      <c r="I402" t="inlineStr">
        <is>
          <t>Apr 2026</t>
        </is>
      </c>
      <c r="J402" t="inlineStr">
        <is>
          <t>CONFIRMED</t>
        </is>
      </c>
    </row>
    <row r="403">
      <c r="A403" s="11" t="inlineStr">
        <is>
          <t>P31-02</t>
        </is>
      </c>
      <c r="B403" t="inlineStr">
        <is>
          <t>Tunnel coherence: γ → β constructive amplitude</t>
        </is>
      </c>
      <c r="C403" t="inlineStr">
        <is>
          <t>0.762</t>
        </is>
      </c>
      <c r="D403" t="inlineStr">
        <is>
          <t>±0.005</t>
        </is>
      </c>
      <c r="E403" t="inlineStr">
        <is>
          <t>Paper 31</t>
        </is>
      </c>
      <c r="F403" t="inlineStr">
        <is>
          <t>§4.3</t>
        </is>
      </c>
      <c r="G403" t="inlineStr">
        <is>
          <t>—</t>
        </is>
      </c>
      <c r="H403" t="inlineStr">
        <is>
          <t>Synthetic</t>
        </is>
      </c>
      <c r="I403" t="inlineStr">
        <is>
          <t>Apr 2026</t>
        </is>
      </c>
      <c r="J403" t="inlineStr">
        <is>
          <t>CONFIRMED</t>
        </is>
      </c>
    </row>
    <row r="404">
      <c r="A404" s="11" t="inlineStr">
        <is>
          <t>P31-03</t>
        </is>
      </c>
      <c r="B404" t="inlineStr">
        <is>
          <t>9-entry lookup table topology-independence</t>
        </is>
      </c>
      <c r="C404" t="inlineStr">
        <is>
          <t>&lt;0.02 bond-level variation</t>
        </is>
      </c>
      <c r="D404" t="inlineStr">
        <is>
          <t>across 3-site / triangle / 4-square topologies</t>
        </is>
      </c>
      <c r="E404" t="inlineStr">
        <is>
          <t>Paper 31</t>
        </is>
      </c>
      <c r="F404" t="inlineStr">
        <is>
          <t>§6.3-6.5 §7.1</t>
        </is>
      </c>
      <c r="G404" t="inlineStr">
        <is>
          <t>—</t>
        </is>
      </c>
      <c r="H404" t="inlineStr">
        <is>
          <t>Synthetic</t>
        </is>
      </c>
      <c r="I404" t="inlineStr">
        <is>
          <t>Apr 2026</t>
        </is>
      </c>
      <c r="J404" t="inlineStr">
        <is>
          <t>CONFIRMED</t>
        </is>
      </c>
    </row>
    <row r="405">
      <c r="A405" s="11" t="inlineStr">
        <is>
          <t>P31-04</t>
        </is>
      </c>
      <c r="B405" t="inlineStr">
        <is>
          <t>Z₃ plaquette holonomy (gauge-theory alternative falsified)</t>
        </is>
      </c>
      <c r="C405" t="inlineStr">
        <is>
          <t>variance ratio &lt; 2</t>
        </is>
      </c>
      <c r="D405" t="inlineStr">
        <is>
          <t>—</t>
        </is>
      </c>
      <c r="E405" t="inlineStr">
        <is>
          <t>Paper 31</t>
        </is>
      </c>
      <c r="F405" t="inlineStr">
        <is>
          <t>§6.5.1</t>
        </is>
      </c>
      <c r="G405" t="inlineStr">
        <is>
          <t>—</t>
        </is>
      </c>
      <c r="H405" t="inlineStr">
        <is>
          <t>Synthetic</t>
        </is>
      </c>
      <c r="I405" t="inlineStr">
        <is>
          <t>Apr 2026</t>
        </is>
      </c>
      <c r="J405" t="inlineStr">
        <is>
          <t>CONFIRMED</t>
        </is>
      </c>
    </row>
    <row r="406">
      <c r="A406" s="11" t="inlineStr">
        <is>
          <t>P31-05</t>
        </is>
      </c>
      <c r="B406" t="inlineStr">
        <is>
          <t>Directional gap at n=1 under FakeSherbrooke</t>
        </is>
      </c>
      <c r="C406" t="inlineStr">
        <is>
          <t>22σ</t>
        </is>
      </c>
      <c r="D406" t="inlineStr">
        <is>
          <t>hardware-viable</t>
        </is>
      </c>
      <c r="E406" t="inlineStr">
        <is>
          <t>Paper 31</t>
        </is>
      </c>
      <c r="F406" t="inlineStr">
        <is>
          <t>§5.4 Fig 5</t>
        </is>
      </c>
      <c r="G406" t="inlineStr">
        <is>
          <t>—</t>
        </is>
      </c>
      <c r="H406" t="inlineStr">
        <is>
          <t>Synthetic (FakeSherbrooke)</t>
        </is>
      </c>
      <c r="I406" t="inlineStr">
        <is>
          <t>Apr 2026</t>
        </is>
      </c>
      <c r="J406" t="inlineStr">
        <is>
          <t>CONFIRMED</t>
        </is>
      </c>
    </row>
    <row r="407">
      <c r="A407" s="11" t="inlineStr">
        <is>
          <t>P31-06</t>
        </is>
      </c>
      <c r="B407" t="inlineStr">
        <is>
          <t>Signal-robust J ranges (avoiding nulls at J=0.15, 0.7)</t>
        </is>
      </c>
      <c r="C407" t="inlineStr">
        <is>
          <t>[0.05-0.13] ∪ [0.2-0.5]</t>
        </is>
      </c>
      <c r="D407" t="inlineStr">
        <is>
          <t>—</t>
        </is>
      </c>
      <c r="E407" t="inlineStr">
        <is>
          <t>Paper 31</t>
        </is>
      </c>
      <c r="F407" t="inlineStr">
        <is>
          <t>§5.1 Fig 4</t>
        </is>
      </c>
      <c r="G407" t="inlineStr">
        <is>
          <t>—</t>
        </is>
      </c>
      <c r="H407" t="inlineStr">
        <is>
          <t>Synthetic</t>
        </is>
      </c>
      <c r="I407" t="inlineStr">
        <is>
          <t>Apr 2026</t>
        </is>
      </c>
      <c r="J407" t="inlineStr">
        <is>
          <t>CONFIRMED</t>
        </is>
      </c>
    </row>
    <row r="408"/>
    <row r="409">
      <c r="A409" s="14" t="inlineStr">
        <is>
          <t>PAPER 32 — CONTENT-ADDRESSABLE MEMORY REGISTER (Apr-May 2026)</t>
        </is>
      </c>
    </row>
    <row r="410">
      <c r="A410" s="11" t="inlineStr">
        <is>
          <t>P32-01</t>
        </is>
      </c>
      <c r="B410" t="inlineStr">
        <is>
          <t>Memory persistence at n=10 (mean pairwise distance)</t>
        </is>
      </c>
      <c r="C410" t="inlineStr">
        <is>
          <t>0.74</t>
        </is>
      </c>
      <c r="D410" t="inlineStr">
        <is>
          <t>74% of n=1 value</t>
        </is>
      </c>
      <c r="E410" t="inlineStr">
        <is>
          <t>Paper 32</t>
        </is>
      </c>
      <c r="F410" t="inlineStr">
        <is>
          <t>§3.2 Tab 2</t>
        </is>
      </c>
      <c r="G410" t="inlineStr">
        <is>
          <t>cirq/run_p4s_memory_persistence_cirq.py</t>
        </is>
      </c>
      <c r="H410" t="inlineStr">
        <is>
          <t>Synthetic (Cirq)</t>
        </is>
      </c>
      <c r="I410" t="inlineStr">
        <is>
          <t>Apr 2026</t>
        </is>
      </c>
      <c r="J410" t="inlineStr">
        <is>
          <t>CONFIRMED</t>
        </is>
      </c>
    </row>
    <row r="411">
      <c r="A411" s="11" t="inlineStr">
        <is>
          <t>P32-02</t>
        </is>
      </c>
      <c r="B411" t="inlineStr">
        <is>
          <t>Peak amplification horizon</t>
        </is>
      </c>
      <c r="C411" t="inlineStr">
        <is>
          <t>n = 3 (distance 0.70 → 0.84)</t>
        </is>
      </c>
      <c r="D411" t="inlineStr">
        <is>
          <t>—</t>
        </is>
      </c>
      <c r="E411" t="inlineStr">
        <is>
          <t>Paper 32</t>
        </is>
      </c>
      <c r="F411" t="inlineStr">
        <is>
          <t>§3.3 Fig 1</t>
        </is>
      </c>
      <c r="G411" t="inlineStr">
        <is>
          <t>—</t>
        </is>
      </c>
      <c r="H411" t="inlineStr">
        <is>
          <t>Synthetic</t>
        </is>
      </c>
      <c r="I411" t="inlineStr">
        <is>
          <t>Apr 2026</t>
        </is>
      </c>
      <c r="J411" t="inlineStr">
        <is>
          <t>CONFIRMED</t>
        </is>
      </c>
    </row>
    <row r="412">
      <c r="A412" s="11" t="inlineStr">
        <is>
          <t>P32-03</t>
        </is>
      </c>
      <c r="B412" t="inlineStr">
        <is>
          <t>Addressable capacity (D=0.3, ideal)</t>
        </is>
      </c>
      <c r="C412" t="inlineStr">
        <is>
          <t>31 memories (4.95 bits)</t>
        </is>
      </c>
      <c r="D412" t="inlineStr">
        <is>
          <t>—</t>
        </is>
      </c>
      <c r="E412" t="inlineStr">
        <is>
          <t>Paper 32</t>
        </is>
      </c>
      <c r="F412" t="inlineStr">
        <is>
          <t>§4.2 Tab 4</t>
        </is>
      </c>
      <c r="G412" t="inlineStr">
        <is>
          <t>cirq/run_p4s_memory_capacity_cirq.py</t>
        </is>
      </c>
      <c r="H412" t="inlineStr">
        <is>
          <t>Synthetic</t>
        </is>
      </c>
      <c r="I412" t="inlineStr">
        <is>
          <t>Apr 2026</t>
        </is>
      </c>
      <c r="J412" t="inlineStr">
        <is>
          <t>CONFIRMED</t>
        </is>
      </c>
    </row>
    <row r="413">
      <c r="A413" s="11" t="inlineStr">
        <is>
          <t>P32-04</t>
        </is>
      </c>
      <c r="B413" t="inlineStr">
        <is>
          <t>Hardware capacity (3σ-resolvable, p_depol=0.005)</t>
        </is>
      </c>
      <c r="C413" t="inlineStr">
        <is>
          <t>51 memories (5.67 bits)</t>
        </is>
      </c>
      <c r="D413" t="inlineStr">
        <is>
          <t>vs 16-state classical baseline</t>
        </is>
      </c>
      <c r="E413" t="inlineStr">
        <is>
          <t>Paper 32</t>
        </is>
      </c>
      <c r="F413" t="inlineStr">
        <is>
          <t>§5.3 Tab 7</t>
        </is>
      </c>
      <c r="G413" t="inlineStr">
        <is>
          <t>cirq/calibrate_4square_damping.py</t>
        </is>
      </c>
      <c r="H413" t="inlineStr">
        <is>
          <t>Synthetic (depol noise)</t>
        </is>
      </c>
      <c r="I413" t="inlineStr">
        <is>
          <t>Apr 2026</t>
        </is>
      </c>
      <c r="J413" t="inlineStr">
        <is>
          <t>CONFIRMED</t>
        </is>
      </c>
    </row>
    <row r="414">
      <c r="A414" s="11" t="inlineStr">
        <is>
          <t>P32-05</t>
        </is>
      </c>
      <c r="B414" t="inlineStr">
        <is>
          <t>Empirical damping factor (p_depol=0.005)</t>
        </is>
      </c>
      <c r="C414" t="inlineStr">
        <is>
          <t>0.384</t>
        </is>
      </c>
      <c r="D414" t="inlineStr">
        <is>
          <t>±0.279 per-bond variance</t>
        </is>
      </c>
      <c r="E414" t="inlineStr">
        <is>
          <t>Paper 32</t>
        </is>
      </c>
      <c r="F414" t="inlineStr">
        <is>
          <t>§5.2 Tab 6</t>
        </is>
      </c>
      <c r="G414" t="inlineStr">
        <is>
          <t>cirq/calibrate_4square_damping.py</t>
        </is>
      </c>
      <c r="H414" t="inlineStr">
        <is>
          <t>Synthetic</t>
        </is>
      </c>
      <c r="I414" t="inlineStr">
        <is>
          <t>Apr 2026</t>
        </is>
      </c>
      <c r="J414" t="inlineStr">
        <is>
          <t>CONFIRMED</t>
        </is>
      </c>
    </row>
    <row r="415">
      <c r="A415" s="11" t="inlineStr">
        <is>
          <t>P32-06</t>
        </is>
      </c>
      <c r="B415" t="inlineStr">
        <is>
          <t>Bond-pattern distinct signatures at n=3</t>
        </is>
      </c>
      <c r="C415" t="inlineStr">
        <is>
          <t>6 distinct fingerprints</t>
        </is>
      </c>
      <c r="D415" t="inlineStr">
        <is>
          <t>—</t>
        </is>
      </c>
      <c r="E415" t="inlineStr">
        <is>
          <t>Paper 32</t>
        </is>
      </c>
      <c r="F415" t="inlineStr">
        <is>
          <t>§3.4 Tab 3 Fig 1</t>
        </is>
      </c>
      <c r="G415" t="inlineStr">
        <is>
          <t>—</t>
        </is>
      </c>
      <c r="H415" t="inlineStr">
        <is>
          <t>Synthetic</t>
        </is>
      </c>
      <c r="I415" t="inlineStr">
        <is>
          <t>Apr 2026</t>
        </is>
      </c>
      <c r="J415" t="inlineStr">
        <is>
          <t>CONFIRMED</t>
        </is>
      </c>
    </row>
    <row r="416"/>
    <row r="417">
      <c r="A417" s="14" t="inlineStr">
        <is>
          <t>PAPER 33 — MERKABIT QUANTUM COMPUTING ARCHITECTURE (Apr-May 2026)</t>
        </is>
      </c>
    </row>
    <row r="418">
      <c r="A418" s="11" t="inlineStr">
        <is>
          <t>P33-01</t>
        </is>
      </c>
      <c r="B418" t="inlineStr">
        <is>
          <t>Z₃ cyclic clock period T_CYCLE</t>
        </is>
      </c>
      <c r="C418" t="inlineStr">
        <is>
          <t>3 cycles = 12 internal steps</t>
        </is>
      </c>
      <c r="D418" t="inlineStr">
        <is>
          <t>—</t>
        </is>
      </c>
      <c r="E418" t="inlineStr">
        <is>
          <t>Paper 33</t>
        </is>
      </c>
      <c r="F418" t="inlineStr">
        <is>
          <t>§3.3 §5.5</t>
        </is>
      </c>
      <c r="G418" t="inlineStr">
        <is>
          <t>genesis/R_locking_test.py</t>
        </is>
      </c>
      <c r="H418" t="inlineStr">
        <is>
          <t>Synthetic</t>
        </is>
      </c>
      <c r="I418" t="inlineStr">
        <is>
          <t>Apr 2026</t>
        </is>
      </c>
      <c r="J418" t="inlineStr">
        <is>
          <t>CONFIRMED</t>
        </is>
      </c>
    </row>
    <row r="419">
      <c r="A419" s="11" t="inlineStr">
        <is>
          <t>P33-02</t>
        </is>
      </c>
      <c r="B419" t="inlineStr">
        <is>
          <t>Pentachoric Stage S (substrate) verdict</t>
        </is>
      </c>
      <c r="C419" t="inlineStr">
        <is>
          <t>PASS — mean |⟨u|v⟩| ∈ [0.30, 0.65]</t>
        </is>
      </c>
      <c r="D419" t="inlineStr">
        <is>
          <t>—</t>
        </is>
      </c>
      <c r="E419" t="inlineStr">
        <is>
          <t>Paper 33</t>
        </is>
      </c>
      <c r="F419" t="inlineStr">
        <is>
          <t>§4.1 Tab 2</t>
        </is>
      </c>
      <c r="G419" t="inlineStr">
        <is>
          <t>—</t>
        </is>
      </c>
      <c r="H419" t="inlineStr">
        <is>
          <t>Synthetic</t>
        </is>
      </c>
      <c r="I419" t="inlineStr">
        <is>
          <t>Apr 2026</t>
        </is>
      </c>
      <c r="J419" t="inlineStr">
        <is>
          <t>CONFIRMED</t>
        </is>
      </c>
    </row>
    <row r="420">
      <c r="A420" s="11" t="inlineStr">
        <is>
          <t>P33-03</t>
        </is>
      </c>
      <c r="B420" t="inlineStr">
        <is>
          <t>Pentachoric Stage R (cycled-gap rotation)</t>
        </is>
      </c>
      <c r="C420" t="inlineStr">
        <is>
          <t>+0.1593 ± 0.0040 (39.7σ)</t>
        </is>
      </c>
      <c r="D420" t="inlineStr">
        <is>
          <t>clears +0.08 threshold</t>
        </is>
      </c>
      <c r="E420" t="inlineStr">
        <is>
          <t>Paper 33</t>
        </is>
      </c>
      <c r="F420" t="inlineStr">
        <is>
          <t>§5.2 Tab 5</t>
        </is>
      </c>
      <c r="G420" t="inlineStr">
        <is>
          <t>—</t>
        </is>
      </c>
      <c r="H420" t="inlineStr">
        <is>
          <t>Synthetic</t>
        </is>
      </c>
      <c r="I420" t="inlineStr">
        <is>
          <t>Apr 2026</t>
        </is>
      </c>
      <c r="J420" t="inlineStr">
        <is>
          <t>CONFIRMED</t>
        </is>
      </c>
    </row>
    <row r="421">
      <c r="A421" s="11" t="inlineStr">
        <is>
          <t>P33-04</t>
        </is>
      </c>
      <c r="B421" t="inlineStr">
        <is>
          <t>Pentachoric Stage T (transfer null control)</t>
        </is>
      </c>
      <c r="C421" t="inlineStr">
        <is>
          <t>≤ 0.03 (cycled-gap collapse)</t>
        </is>
      </c>
      <c r="D421" t="inlineStr">
        <is>
          <t>—</t>
        </is>
      </c>
      <c r="E421" t="inlineStr">
        <is>
          <t>Paper 33</t>
        </is>
      </c>
      <c r="F421" t="inlineStr">
        <is>
          <t>§4.1 Tab 2</t>
        </is>
      </c>
      <c r="G421" t="inlineStr">
        <is>
          <t>—</t>
        </is>
      </c>
      <c r="H421" t="inlineStr">
        <is>
          <t>Synthetic</t>
        </is>
      </c>
      <c r="I421" t="inlineStr">
        <is>
          <t>Apr 2026</t>
        </is>
      </c>
      <c r="J421" t="inlineStr">
        <is>
          <t>CONFIRMED</t>
        </is>
      </c>
    </row>
    <row r="422">
      <c r="A422" s="11" t="inlineStr">
        <is>
          <t>P33-05</t>
        </is>
      </c>
      <c r="B422" t="inlineStr">
        <is>
          <t>Pentachoric Stage F (frequency / self-sustainment plateau)</t>
        </is>
      </c>
      <c r="C422" t="inlineStr">
        <is>
          <t>3% span (max-min ≤10% threshold)</t>
        </is>
      </c>
      <c r="D422" t="inlineStr">
        <is>
          <t>—</t>
        </is>
      </c>
      <c r="E422" t="inlineStr">
        <is>
          <t>Paper 33</t>
        </is>
      </c>
      <c r="F422" t="inlineStr">
        <is>
          <t>§5.5 Tab 9</t>
        </is>
      </c>
      <c r="G422" t="inlineStr">
        <is>
          <t>—</t>
        </is>
      </c>
      <c r="H422" t="inlineStr">
        <is>
          <t>Synthetic</t>
        </is>
      </c>
      <c r="I422" t="inlineStr">
        <is>
          <t>Apr 2026</t>
        </is>
      </c>
      <c r="J422" t="inlineStr">
        <is>
          <t>CONFIRMED</t>
        </is>
      </c>
    </row>
    <row r="423">
      <c r="A423" s="11" t="inlineStr">
        <is>
          <t>P33-06</t>
        </is>
      </c>
      <c r="B423" t="inlineStr">
        <is>
          <t>Pentachoric Stage P (phase, u_D direct readout)</t>
        </is>
      </c>
      <c r="C423" t="inlineStr">
        <is>
          <t>|−0.000| ≤ 0.03</t>
        </is>
      </c>
      <c r="D423" t="inlineStr">
        <is>
          <t>confirms cross-chirality</t>
        </is>
      </c>
      <c r="E423" t="inlineStr">
        <is>
          <t>Paper 33</t>
        </is>
      </c>
      <c r="F423" t="inlineStr">
        <is>
          <t>§4.1 Tab 2</t>
        </is>
      </c>
      <c r="G423" t="inlineStr">
        <is>
          <t>—</t>
        </is>
      </c>
      <c r="H423" t="inlineStr">
        <is>
          <t>Synthetic</t>
        </is>
      </c>
      <c r="I423" t="inlineStr">
        <is>
          <t>Apr 2026</t>
        </is>
      </c>
      <c r="J423" t="inlineStr">
        <is>
          <t>CONFIRMED</t>
        </is>
      </c>
    </row>
    <row r="424">
      <c r="A424" s="11" t="inlineStr">
        <is>
          <t>P33-07</t>
        </is>
      </c>
      <c r="B424" t="inlineStr">
        <is>
          <t>IBM Heron r2 verdict (p_depol=0.003)</t>
        </is>
      </c>
      <c r="C424" t="inlineStr">
        <is>
          <t>STRONG PASS (R +0.114±0.034σ; F span 5.7%)</t>
        </is>
      </c>
      <c r="D424" t="inlineStr">
        <is>
          <t>—</t>
        </is>
      </c>
      <c r="E424" t="inlineStr">
        <is>
          <t>Paper 33</t>
        </is>
      </c>
      <c r="F424" t="inlineStr">
        <is>
          <t>§5.2 Tab 5</t>
        </is>
      </c>
      <c r="G424" t="inlineStr">
        <is>
          <t>—</t>
        </is>
      </c>
      <c r="H424" t="inlineStr">
        <is>
          <t>IBM Heron r2 emulator</t>
        </is>
      </c>
      <c r="I424" t="inlineStr">
        <is>
          <t>Apr 2026</t>
        </is>
      </c>
      <c r="J424" t="inlineStr">
        <is>
          <t>CONFIRMED</t>
        </is>
      </c>
    </row>
    <row r="425">
      <c r="A425" s="11" t="inlineStr">
        <is>
          <t>P33-08</t>
        </is>
      </c>
      <c r="B425" t="inlineStr">
        <is>
          <t>IBM Eagle r3 verdict (p_depol=0.005)</t>
        </is>
      </c>
      <c r="C425" t="inlineStr">
        <is>
          <t>WEAK PASS (F borderline span 12.7% vs 10% threshold)</t>
        </is>
      </c>
      <c r="D425" t="inlineStr">
        <is>
          <t>—</t>
        </is>
      </c>
      <c r="E425" t="inlineStr">
        <is>
          <t>Paper 33</t>
        </is>
      </c>
      <c r="F425" t="inlineStr">
        <is>
          <t>§5.3 Tab 6</t>
        </is>
      </c>
      <c r="G425" t="inlineStr">
        <is>
          <t>—</t>
        </is>
      </c>
      <c r="H425" t="inlineStr">
        <is>
          <t>IBM Eagle r3 emulator</t>
        </is>
      </c>
      <c r="I425" t="inlineStr">
        <is>
          <t>Apr 2026</t>
        </is>
      </c>
      <c r="J425" t="inlineStr">
        <is>
          <t>HEDGED</t>
        </is>
      </c>
    </row>
    <row r="426"/>
    <row r="427">
      <c r="A427" s="14" t="inlineStr">
        <is>
          <t>PAPER 34 — TERNARY SPECTRUM (Apr-May 2026)</t>
        </is>
      </c>
    </row>
    <row r="428">
      <c r="A428" s="11" t="inlineStr">
        <is>
          <t>P34-01</t>
        </is>
      </c>
      <c r="B428" t="inlineStr">
        <is>
          <t>Entropy spectrum period (Coxeter cycle h(E_x))</t>
        </is>
      </c>
      <c r="C428" t="inlineStr">
        <is>
          <t>12</t>
        </is>
      </c>
      <c r="D428" t="inlineStr">
        <is>
          <t>—</t>
        </is>
      </c>
      <c r="E428" t="inlineStr">
        <is>
          <t>Paper 34</t>
        </is>
      </c>
      <c r="F428" t="inlineStr">
        <is>
          <t>§4.3 §5.1</t>
        </is>
      </c>
      <c r="G428" t="inlineStr">
        <is>
          <t>run_p4s_double_triangle_cirq.py</t>
        </is>
      </c>
      <c r="H428" t="inlineStr">
        <is>
          <t>Synthetic (Cirq)</t>
        </is>
      </c>
      <c r="I428" t="inlineStr">
        <is>
          <t>Apr 2026</t>
        </is>
      </c>
      <c r="J428" t="inlineStr">
        <is>
          <t>CONFIRMED</t>
        </is>
      </c>
    </row>
    <row r="429">
      <c r="A429" s="11" t="inlineStr">
        <is>
          <t>P34-02</t>
        </is>
      </c>
      <c r="B429" t="inlineStr">
        <is>
          <t>Peak entropy at offsets 4, 16, 28</t>
        </is>
      </c>
      <c r="C429" t="inlineStr">
        <is>
          <t>1.1669</t>
        </is>
      </c>
      <c r="D429" t="inlineStr">
        <is>
          <t>—</t>
        </is>
      </c>
      <c r="E429" t="inlineStr">
        <is>
          <t>Paper 34</t>
        </is>
      </c>
      <c r="F429" t="inlineStr">
        <is>
          <t>§4.3 Fig 2</t>
        </is>
      </c>
      <c r="G429" t="inlineStr">
        <is>
          <t>—</t>
        </is>
      </c>
      <c r="H429" t="inlineStr">
        <is>
          <t>Synthetic</t>
        </is>
      </c>
      <c r="I429" t="inlineStr">
        <is>
          <t>Apr 2026</t>
        </is>
      </c>
      <c r="J429" t="inlineStr">
        <is>
          <t>CONFIRMED</t>
        </is>
      </c>
    </row>
    <row r="430">
      <c r="A430" s="11" t="inlineStr">
        <is>
          <t>P34-03</t>
        </is>
      </c>
      <c r="B430" t="inlineStr">
        <is>
          <t>Trough entropy at offsets 8, 20, 32</t>
        </is>
      </c>
      <c r="C430" t="inlineStr">
        <is>
          <t>1.1135</t>
        </is>
      </c>
      <c r="D430" t="inlineStr">
        <is>
          <t>—</t>
        </is>
      </c>
      <c r="E430" t="inlineStr">
        <is>
          <t>Paper 34</t>
        </is>
      </c>
      <c r="F430" t="inlineStr">
        <is>
          <t>§4.3 Fig 2</t>
        </is>
      </c>
      <c r="G430" t="inlineStr">
        <is>
          <t>—</t>
        </is>
      </c>
      <c r="H430" t="inlineStr">
        <is>
          <t>Synthetic</t>
        </is>
      </c>
      <c r="I430" t="inlineStr">
        <is>
          <t>Apr 2026</t>
        </is>
      </c>
      <c r="J430" t="inlineStr">
        <is>
          <t>CONFIRMED</t>
        </is>
      </c>
    </row>
    <row r="431">
      <c r="A431" s="11" t="inlineStr">
        <is>
          <t>P34-04</t>
        </is>
      </c>
      <c r="B431" t="inlineStr">
        <is>
          <t>Peak-trough contrast ΔS</t>
        </is>
      </c>
      <c r="C431" t="inlineStr">
        <is>
          <t>0.0534 ± 0.0069</t>
        </is>
      </c>
      <c r="D431" t="inlineStr">
        <is>
          <t>complex128 — structural, not noise</t>
        </is>
      </c>
      <c r="E431" t="inlineStr">
        <is>
          <t>Paper 34</t>
        </is>
      </c>
      <c r="F431" t="inlineStr">
        <is>
          <t>§4.5 Tab 4</t>
        </is>
      </c>
      <c r="G431" t="inlineStr">
        <is>
          <t>run_stage_c_complex128.py</t>
        </is>
      </c>
      <c r="H431" t="inlineStr">
        <is>
          <t>Synthetic</t>
        </is>
      </c>
      <c r="I431" t="inlineStr">
        <is>
          <t>Apr 2026</t>
        </is>
      </c>
      <c r="J431" t="inlineStr">
        <is>
          <t>CONFIRMED</t>
        </is>
      </c>
    </row>
    <row r="432">
      <c r="A432" s="11" t="inlineStr">
        <is>
          <t>P34-05</t>
        </is>
      </c>
      <c r="B432" t="inlineStr">
        <is>
          <t>FFT fundamental + second harmonic period</t>
        </is>
      </c>
      <c r="C432" t="inlineStr">
        <is>
          <t>12.00 + 6.00 (bichromatic)</t>
        </is>
      </c>
      <c r="D432" t="inlineStr">
        <is>
          <t>±1%</t>
        </is>
      </c>
      <c r="E432" t="inlineStr">
        <is>
          <t>Paper 34</t>
        </is>
      </c>
      <c r="F432" t="inlineStr">
        <is>
          <t>§4.4 Fig 3</t>
        </is>
      </c>
      <c r="G432" t="inlineStr">
        <is>
          <t>—</t>
        </is>
      </c>
      <c r="H432" t="inlineStr">
        <is>
          <t>Synthetic</t>
        </is>
      </c>
      <c r="I432" t="inlineStr">
        <is>
          <t>Apr 2026</t>
        </is>
      </c>
      <c r="J432" t="inlineStr">
        <is>
          <t>CONFIRMED</t>
        </is>
      </c>
    </row>
    <row r="433">
      <c r="A433" s="11" t="inlineStr">
        <is>
          <t>P34-06</t>
        </is>
      </c>
      <c r="B433" t="inlineStr">
        <is>
          <t>Harmonic purity (non-DC power in {12, 6} bands)</t>
        </is>
      </c>
      <c r="C433" t="inlineStr">
        <is>
          <t>98.94%</t>
        </is>
      </c>
      <c r="D433" t="inlineStr">
        <is>
          <t>—</t>
        </is>
      </c>
      <c r="E433" t="inlineStr">
        <is>
          <t>Paper 34</t>
        </is>
      </c>
      <c r="F433" t="inlineStr">
        <is>
          <t>§4.5 Tab 4</t>
        </is>
      </c>
      <c r="G433" t="inlineStr">
        <is>
          <t>—</t>
        </is>
      </c>
      <c r="H433" t="inlineStr">
        <is>
          <t>Synthetic</t>
        </is>
      </c>
      <c r="I433" t="inlineStr">
        <is>
          <t>Apr 2026</t>
        </is>
      </c>
      <c r="J433" t="inlineStr">
        <is>
          <t>CONFIRMED</t>
        </is>
      </c>
    </row>
    <row r="434"/>
    <row r="435">
      <c r="A435" s="14" t="inlineStr">
        <is>
          <t>PAPER 39 — ARCHITECTURAL GENESIS (additional baryogenesis / Λ entries) (May 2026)</t>
        </is>
      </c>
    </row>
    <row r="436">
      <c r="A436" s="11" t="inlineStr">
        <is>
          <t>P39-10</t>
        </is>
      </c>
      <c r="B436" t="inlineStr">
        <is>
          <t>Cosmic baryon-to-photon ratio η_B (architectural success rate / Coxeter cycle)</t>
        </is>
      </c>
      <c r="C436" t="inlineStr">
        <is>
          <t>5.91 × 10⁻¹⁰</t>
        </is>
      </c>
      <c r="D436" t="inlineStr">
        <is>
          <t>~30% vs observed 6.09×10⁻¹⁰</t>
        </is>
      </c>
      <c r="E436" t="inlineStr">
        <is>
          <t>Paper 39</t>
        </is>
      </c>
      <c r="F436" t="inlineStr">
        <is>
          <t>§15.1</t>
        </is>
      </c>
      <c r="G436" t="inlineStr">
        <is>
          <t>—</t>
        </is>
      </c>
      <c r="H436" t="inlineStr">
        <is>
          <t>Derivation</t>
        </is>
      </c>
      <c r="I436" t="inlineStr">
        <is>
          <t>May 2026</t>
        </is>
      </c>
      <c r="J436" t="inlineStr">
        <is>
          <t>CONFIRMED</t>
        </is>
      </c>
    </row>
    <row r="437">
      <c r="A437" s="11" t="inlineStr">
        <is>
          <t>P39-11</t>
        </is>
      </c>
      <c r="B437" t="inlineStr">
        <is>
          <t>Per-cycle CP asymmetry Δ(YM)</t>
        </is>
      </c>
      <c r="C437" t="inlineStr">
        <is>
          <t>1/24 = 0.04167</t>
        </is>
      </c>
      <c r="D437" t="inlineStr">
        <is>
          <t>exact (Fano-line stabiliser order |2T|)</t>
        </is>
      </c>
      <c r="E437" t="inlineStr">
        <is>
          <t>Paper 39</t>
        </is>
      </c>
      <c r="F437" t="inlineStr">
        <is>
          <t>§15.1</t>
        </is>
      </c>
      <c r="G437" t="inlineStr">
        <is>
          <t>—</t>
        </is>
      </c>
      <c r="H437" t="inlineStr">
        <is>
          <t>Derivation</t>
        </is>
      </c>
      <c r="I437" t="inlineStr">
        <is>
          <t>May 2026</t>
        </is>
      </c>
      <c r="J437" t="inlineStr">
        <is>
          <t>CONFIRMED</t>
        </is>
      </c>
    </row>
    <row r="438">
      <c r="A438" s="11" t="inlineStr">
        <is>
          <t>P39-12</t>
        </is>
      </c>
      <c r="B438" t="inlineStr">
        <is>
          <t>Λ derivation from architecture: Λ = √(3/2) · exp(−2 γ_Berry · dim(E₆) · h / 2π)</t>
        </is>
      </c>
      <c r="C438" t="inlineStr">
        <is>
          <t>2.876 × 10⁻¹²²</t>
        </is>
      </c>
      <c r="D438" t="inlineStr">
        <is>
          <t>0.2% match</t>
        </is>
      </c>
      <c r="E438" t="inlineStr">
        <is>
          <t>Paper 39</t>
        </is>
      </c>
      <c r="F438" t="inlineStr">
        <is>
          <t>§15.2</t>
        </is>
      </c>
      <c r="G438" t="inlineStr">
        <is>
          <t>—</t>
        </is>
      </c>
      <c r="H438" t="inlineStr">
        <is>
          <t>Derivation</t>
        </is>
      </c>
      <c r="I438" t="inlineStr">
        <is>
          <t>May 2026</t>
        </is>
      </c>
      <c r="J438" t="inlineStr">
        <is>
          <t>CONFIRMED</t>
        </is>
      </c>
    </row>
    <row r="439">
      <c r="A439" s="11" t="inlineStr">
        <is>
          <t>P39-13</t>
        </is>
      </c>
      <c r="B439" t="inlineStr">
        <is>
          <t>Matter-vs-vacuum preference ratio η_B / Λ</t>
        </is>
      </c>
      <c r="C439" t="inlineStr">
        <is>
          <t>2.6 × 10¹¹²</t>
        </is>
      </c>
      <c r="D439" t="inlineStr">
        <is>
          <t>—</t>
        </is>
      </c>
      <c r="E439" t="inlineStr">
        <is>
          <t>Paper 39</t>
        </is>
      </c>
      <c r="F439" t="inlineStr">
        <is>
          <t>§15.3</t>
        </is>
      </c>
      <c r="G439" t="inlineStr">
        <is>
          <t>—</t>
        </is>
      </c>
      <c r="H439" t="inlineStr">
        <is>
          <t>Derivation</t>
        </is>
      </c>
      <c r="I439" t="inlineStr">
        <is>
          <t>May 2026</t>
        </is>
      </c>
      <c r="J439" t="inlineStr">
        <is>
          <t>CONFIRMED</t>
        </is>
      </c>
    </row>
    <row r="440">
      <c r="A440" s="11" t="inlineStr">
        <is>
          <t>P39-14</t>
        </is>
      </c>
      <c r="B440" t="inlineStr">
        <is>
          <t>24-cell Weyl group order (Stage 12 closure)</t>
        </is>
      </c>
      <c r="C440" t="inlineStr">
        <is>
          <t>1152</t>
        </is>
      </c>
      <c r="D440" t="inlineStr">
        <is>
          <t>exact</t>
        </is>
      </c>
      <c r="E440" t="inlineStr">
        <is>
          <t>Paper 39</t>
        </is>
      </c>
      <c r="F440" t="inlineStr">
        <is>
          <t>App A.5</t>
        </is>
      </c>
      <c r="G440" t="inlineStr">
        <is>
          <t>—</t>
        </is>
      </c>
      <c r="H440" t="inlineStr">
        <is>
          <t>Derivation</t>
        </is>
      </c>
      <c r="I440" t="inlineStr">
        <is>
          <t>May 2026</t>
        </is>
      </c>
      <c r="J440" t="inlineStr">
        <is>
          <t>CONFIRMED</t>
        </is>
      </c>
    </row>
    <row r="441">
      <c r="A441" s="11" t="inlineStr">
        <is>
          <t>P39-15</t>
        </is>
      </c>
      <c r="B441" t="inlineStr">
        <is>
          <t>Random walk stationary covariance on V8 eigenspace (uniformity check)</t>
        </is>
      </c>
      <c r="C441" t="inlineStr">
        <is>
          <t>0.0415 to 0.0418 (max/min ratio 1.008)</t>
        </is>
      </c>
      <c r="D441" t="inlineStr">
        <is>
          <t>—</t>
        </is>
      </c>
      <c r="E441" t="inlineStr">
        <is>
          <t>Paper 39</t>
        </is>
      </c>
      <c r="F441" t="inlineStr">
        <is>
          <t>App A.3</t>
        </is>
      </c>
      <c r="G441" t="inlineStr">
        <is>
          <t>paper39_test_24cell_su3.py</t>
        </is>
      </c>
      <c r="H441" t="inlineStr">
        <is>
          <t>Synthetic</t>
        </is>
      </c>
      <c r="I441" t="inlineStr">
        <is>
          <t>May 2026</t>
        </is>
      </c>
      <c r="J441" t="inlineStr">
        <is>
          <t>CONFIRMED</t>
        </is>
      </c>
    </row>
    <row r="442"/>
    <row r="443">
      <c r="A443" s="14" t="inlineStr">
        <is>
          <t>PAPER 41 — STT THEOREM / RH SYNTHESIS (May 2026)</t>
        </is>
      </c>
    </row>
    <row r="444">
      <c r="A444" s="11" t="inlineStr">
        <is>
          <t>P41-01</t>
        </is>
      </c>
      <c r="B444" t="inlineStr">
        <is>
          <t>STT theorem (substrate-trajectory-to-timestamp): N_arch(T) = N_RvM(T) — zero free parameters</t>
        </is>
      </c>
      <c r="C444" t="inlineStr">
        <is>
          <t>architectural identity (no fit)</t>
        </is>
      </c>
      <c r="D444" t="inlineStr">
        <is>
          <t>—</t>
        </is>
      </c>
      <c r="E444" t="inlineStr">
        <is>
          <t>Paper 41</t>
        </is>
      </c>
      <c r="F444" t="inlineStr">
        <is>
          <t>§7.1-7.2</t>
        </is>
      </c>
      <c r="G444" t="inlineStr">
        <is>
          <t>—</t>
        </is>
      </c>
      <c r="H444" t="inlineStr">
        <is>
          <t>Derivation</t>
        </is>
      </c>
      <c r="I444" t="inlineStr">
        <is>
          <t>May 2026</t>
        </is>
      </c>
      <c r="J444" t="inlineStr">
        <is>
          <t>CONFIRMED</t>
        </is>
      </c>
    </row>
    <row r="445">
      <c r="A445" s="11" t="inlineStr">
        <is>
          <t>P41-02</t>
        </is>
      </c>
      <c r="B445" t="inlineStr">
        <is>
          <t>Riemann zero accumulation N_emp(T=100) over first 2000 zeros</t>
        </is>
      </c>
      <c r="C445" t="inlineStr">
        <is>
          <t>29 zeros (matches RvM smooth count)</t>
        </is>
      </c>
      <c r="D445" t="inlineStr">
        <is>
          <t>&lt;0.5% density match</t>
        </is>
      </c>
      <c r="E445" t="inlineStr">
        <is>
          <t>Paper 41</t>
        </is>
      </c>
      <c r="F445" t="inlineStr">
        <is>
          <t>§5.4 §8.3</t>
        </is>
      </c>
      <c r="G445" t="inlineStr">
        <is>
          <t>—</t>
        </is>
      </c>
      <c r="H445" t="inlineStr">
        <is>
          <t>Synthetic</t>
        </is>
      </c>
      <c r="I445" t="inlineStr">
        <is>
          <t>May 2026</t>
        </is>
      </c>
      <c r="J445" t="inlineStr">
        <is>
          <t>CONFIRMED</t>
        </is>
      </c>
    </row>
    <row r="446">
      <c r="A446" s="11" t="inlineStr">
        <is>
          <t>P41-03</t>
        </is>
      </c>
      <c r="B446" t="inlineStr">
        <is>
          <t>Sub-leading S(T) reproduction (cross-ref P39-02)</t>
        </is>
      </c>
      <c r="C446" t="inlineStr">
        <is>
          <t>r = 0.974, 94.4% variance</t>
        </is>
      </c>
      <c r="D446" t="inlineStr">
        <is>
          <t>—</t>
        </is>
      </c>
      <c r="E446" t="inlineStr">
        <is>
          <t>Paper 41</t>
        </is>
      </c>
      <c r="F446" t="inlineStr">
        <is>
          <t>§5.4</t>
        </is>
      </c>
      <c r="G446" t="inlineStr">
        <is>
          <t>paper39_S_T_v2_midpoint.py</t>
        </is>
      </c>
      <c r="H446" t="inlineStr">
        <is>
          <t>Synthetic</t>
        </is>
      </c>
      <c r="I446" t="inlineStr">
        <is>
          <t>May 2026</t>
        </is>
      </c>
      <c r="J446" t="inlineStr">
        <is>
          <t>CONFIRMED</t>
        </is>
      </c>
    </row>
    <row r="447">
      <c r="A447" s="11" t="inlineStr">
        <is>
          <t>P41-04</t>
        </is>
      </c>
      <c r="B447" t="inlineStr">
        <is>
          <t>Glueball mass from merkabit (cross-ref Paper 16)</t>
        </is>
      </c>
      <c r="C447" t="inlineStr">
        <is>
          <t>1.710 GeV</t>
        </is>
      </c>
      <c r="D447" t="inlineStr">
        <is>
          <t>0.01% lattice consensus</t>
        </is>
      </c>
      <c r="E447" t="inlineStr">
        <is>
          <t>Paper 41</t>
        </is>
      </c>
      <c r="F447" t="inlineStr">
        <is>
          <t>§1.1</t>
        </is>
      </c>
      <c r="G447" t="inlineStr">
        <is>
          <t>—</t>
        </is>
      </c>
      <c r="H447" t="inlineStr">
        <is>
          <t>Derivation</t>
        </is>
      </c>
      <c r="I447" t="inlineStr">
        <is>
          <t>May 2026</t>
        </is>
      </c>
      <c r="J447" t="inlineStr">
        <is>
          <t>CONFIRMED</t>
        </is>
      </c>
    </row>
    <row r="448">
      <c r="A448" s="11" t="inlineStr">
        <is>
          <t>P41-05</t>
        </is>
      </c>
      <c r="B448" t="inlineStr">
        <is>
          <t>α⁻¹ from binary-ternary partition (synthesis)</t>
        </is>
      </c>
      <c r="C448" t="inlineStr">
        <is>
          <t>137.036</t>
        </is>
      </c>
      <c r="D448" t="inlineStr">
        <is>
          <t>exact at integer part 168 − 31</t>
        </is>
      </c>
      <c r="E448" t="inlineStr">
        <is>
          <t>Paper 41</t>
        </is>
      </c>
      <c r="F448" t="inlineStr">
        <is>
          <t>§1.1</t>
        </is>
      </c>
      <c r="G448" t="inlineStr">
        <is>
          <t>—</t>
        </is>
      </c>
      <c r="H448" t="inlineStr">
        <is>
          <t>Derivation</t>
        </is>
      </c>
      <c r="I448" t="inlineStr">
        <is>
          <t>May 2026</t>
        </is>
      </c>
      <c r="J448" t="inlineStr">
        <is>
          <t>CONFIRMED</t>
        </is>
      </c>
    </row>
    <row r="449">
      <c r="A449" s="11" t="inlineStr">
        <is>
          <t>P41-06</t>
        </is>
      </c>
      <c r="B449" t="inlineStr">
        <is>
          <t>Yang-Mills mass gap Δ = 1/|2T| (synthesis)</t>
        </is>
      </c>
      <c r="C449" t="inlineStr">
        <is>
          <t>1/24 (binary tetrahedral group order)</t>
        </is>
      </c>
      <c r="D449" t="inlineStr">
        <is>
          <t>exact</t>
        </is>
      </c>
      <c r="E449" t="inlineStr">
        <is>
          <t>Paper 41</t>
        </is>
      </c>
      <c r="F449" t="inlineStr">
        <is>
          <t>§1.1</t>
        </is>
      </c>
      <c r="G449" t="inlineStr">
        <is>
          <t>—</t>
        </is>
      </c>
      <c r="H449" t="inlineStr">
        <is>
          <t>Derivation</t>
        </is>
      </c>
      <c r="I449" t="inlineStr">
        <is>
          <t>May 2026</t>
        </is>
      </c>
      <c r="J449" t="inlineStr">
        <is>
          <t>CONFIRMED</t>
        </is>
      </c>
    </row>
    <row r="450"/>
    <row r="451">
      <c r="A451" s="14" t="inlineStr">
        <is>
          <t>PAPER 10 — ONE GROUP, FOUR FACES (PSL(2,7) UNIFICATION) (Mar 2026)</t>
        </is>
      </c>
    </row>
    <row r="452">
      <c r="A452" s="11" t="inlineStr">
        <is>
          <t>P10-01</t>
        </is>
      </c>
      <c r="B452" t="inlineStr">
        <is>
          <t>Phase space ternary-essential configurations (= α⁻¹ integer)</t>
        </is>
      </c>
      <c r="C452" t="inlineStr">
        <is>
          <t>137</t>
        </is>
      </c>
      <c r="D452" t="inlineStr">
        <is>
          <t>exact (= 168 − 31)</t>
        </is>
      </c>
      <c r="E452" t="inlineStr">
        <is>
          <t>Paper 10</t>
        </is>
      </c>
      <c r="F452" t="inlineStr">
        <is>
          <t>§2.1 §3.1</t>
        </is>
      </c>
      <c r="G452" t="inlineStr">
        <is>
          <t>—</t>
        </is>
      </c>
      <c r="H452" t="inlineStr">
        <is>
          <t>Derivation</t>
        </is>
      </c>
      <c r="I452" t="inlineStr">
        <is>
          <t>Mar 2026</t>
        </is>
      </c>
      <c r="J452" t="inlineStr">
        <is>
          <t>CONFIRMED</t>
        </is>
      </c>
    </row>
    <row r="453">
      <c r="A453" s="11" t="inlineStr">
        <is>
          <t>P10-02</t>
        </is>
      </c>
      <c r="B453" t="inlineStr">
        <is>
          <t>Fine structure constant α⁻¹ with E₆ Coxeter correction</t>
        </is>
      </c>
      <c r="C453" t="inlineStr">
        <is>
          <t>137.035999083</t>
        </is>
      </c>
      <c r="D453" t="inlineStr">
        <is>
          <t>0.007 ppb vs CODATA 2018</t>
        </is>
      </c>
      <c r="E453" t="inlineStr">
        <is>
          <t>Paper 10</t>
        </is>
      </c>
      <c r="F453" t="inlineStr">
        <is>
          <t>§3.1</t>
        </is>
      </c>
      <c r="G453" t="inlineStr">
        <is>
          <t>—</t>
        </is>
      </c>
      <c r="H453" t="inlineStr">
        <is>
          <t>Derivation</t>
        </is>
      </c>
      <c r="I453" t="inlineStr">
        <is>
          <t>Mar 2026</t>
        </is>
      </c>
      <c r="J453" t="inlineStr">
        <is>
          <t>CONFIRMED</t>
        </is>
      </c>
    </row>
    <row r="454">
      <c r="A454" s="11" t="inlineStr">
        <is>
          <t>P10-03</t>
        </is>
      </c>
      <c r="B454" t="inlineStr">
        <is>
          <t>PSL(2,7) group order</t>
        </is>
      </c>
      <c r="C454" t="inlineStr">
        <is>
          <t>168</t>
        </is>
      </c>
      <c r="D454" t="inlineStr">
        <is>
          <t>exact (= 137 + 31)</t>
        </is>
      </c>
      <c r="E454" t="inlineStr">
        <is>
          <t>Paper 10</t>
        </is>
      </c>
      <c r="F454" t="inlineStr">
        <is>
          <t>§2.1</t>
        </is>
      </c>
      <c r="G454" t="inlineStr">
        <is>
          <t>—</t>
        </is>
      </c>
      <c r="H454" t="inlineStr">
        <is>
          <t>Derivation</t>
        </is>
      </c>
      <c r="I454" t="inlineStr">
        <is>
          <t>Mar 2026</t>
        </is>
      </c>
      <c r="J454" t="inlineStr">
        <is>
          <t>CONFIRMED</t>
        </is>
      </c>
    </row>
    <row r="455">
      <c r="A455" s="11" t="inlineStr">
        <is>
          <t>P10-04</t>
        </is>
      </c>
      <c r="B455" t="inlineStr">
        <is>
          <t>Binary-accessible configurations |B₃₁|</t>
        </is>
      </c>
      <c r="C455" t="inlineStr">
        <is>
          <t>31</t>
        </is>
      </c>
      <c r="D455" t="inlineStr">
        <is>
          <t>exact stratum</t>
        </is>
      </c>
      <c r="E455" t="inlineStr">
        <is>
          <t>Paper 10</t>
        </is>
      </c>
      <c r="F455" t="inlineStr">
        <is>
          <t>§2.1</t>
        </is>
      </c>
      <c r="G455" t="inlineStr">
        <is>
          <t>—</t>
        </is>
      </c>
      <c r="H455" t="inlineStr">
        <is>
          <t>Derivation</t>
        </is>
      </c>
      <c r="I455" t="inlineStr">
        <is>
          <t>Mar 2026</t>
        </is>
      </c>
      <c r="J455" t="inlineStr">
        <is>
          <t>CONFIRMED</t>
        </is>
      </c>
    </row>
    <row r="456">
      <c r="A456" s="11" t="inlineStr">
        <is>
          <t>P10-05</t>
        </is>
      </c>
      <c r="B456" t="inlineStr">
        <is>
          <t>Yang-Mills mass gap (orbit-stabiliser)</t>
        </is>
      </c>
      <c r="C456" t="inlineStr">
        <is>
          <t>1/24</t>
        </is>
      </c>
      <c r="D456" t="inlineStr">
        <is>
          <t>exact</t>
        </is>
      </c>
      <c r="E456" t="inlineStr">
        <is>
          <t>Paper 10</t>
        </is>
      </c>
      <c r="F456" t="inlineStr">
        <is>
          <t>§3.4</t>
        </is>
      </c>
      <c r="G456" t="inlineStr">
        <is>
          <t>—</t>
        </is>
      </c>
      <c r="H456" t="inlineStr">
        <is>
          <t>Derivation</t>
        </is>
      </c>
      <c r="I456" t="inlineStr">
        <is>
          <t>Mar 2026</t>
        </is>
      </c>
      <c r="J456" t="inlineStr">
        <is>
          <t>CONFIRMED</t>
        </is>
      </c>
    </row>
    <row r="457">
      <c r="A457" s="11" t="inlineStr">
        <is>
          <t>P10-06</t>
        </is>
      </c>
      <c r="B457" t="inlineStr">
        <is>
          <t>Glueball mass m = v/144 (cross-ref Papers 9, 16)</t>
        </is>
      </c>
      <c r="C457" t="inlineStr">
        <is>
          <t>1.710 GeV</t>
        </is>
      </c>
      <c r="D457" t="inlineStr">
        <is>
          <t>0.01% lattice QCD</t>
        </is>
      </c>
      <c r="E457" t="inlineStr">
        <is>
          <t>Paper 10</t>
        </is>
      </c>
      <c r="F457" t="inlineStr">
        <is>
          <t>§3.4</t>
        </is>
      </c>
      <c r="G457" t="inlineStr">
        <is>
          <t>—</t>
        </is>
      </c>
      <c r="H457" t="inlineStr">
        <is>
          <t>Derivation</t>
        </is>
      </c>
      <c r="I457" t="inlineStr">
        <is>
          <t>Mar 2026</t>
        </is>
      </c>
      <c r="J457" t="inlineStr">
        <is>
          <t>CONFIRMED</t>
        </is>
      </c>
    </row>
    <row r="458">
      <c r="A458" s="11" t="inlineStr">
        <is>
          <t>P10-07</t>
        </is>
      </c>
      <c r="B458" t="inlineStr">
        <is>
          <t>Klein quartic edges (Peierls flux denominator)</t>
        </is>
      </c>
      <c r="C458" t="inlineStr">
        <is>
          <t>84</t>
        </is>
      </c>
      <c r="D458" t="inlineStr">
        <is>
          <t>exact</t>
        </is>
      </c>
      <c r="E458" t="inlineStr">
        <is>
          <t>Paper 10</t>
        </is>
      </c>
      <c r="F458" t="inlineStr">
        <is>
          <t>§3.3</t>
        </is>
      </c>
      <c r="G458" t="inlineStr">
        <is>
          <t>—</t>
        </is>
      </c>
      <c r="H458" t="inlineStr">
        <is>
          <t>Derivation</t>
        </is>
      </c>
      <c r="I458" t="inlineStr">
        <is>
          <t>Mar 2026</t>
        </is>
      </c>
      <c r="J458" t="inlineStr">
        <is>
          <t>CONFIRMED</t>
        </is>
      </c>
    </row>
    <row r="459"/>
    <row r="460">
      <c r="A460" s="14" t="inlineStr">
        <is>
          <t>PAPER 18 — THE OCTONIONIC SURPLUS (Mar 2026)</t>
        </is>
      </c>
    </row>
    <row r="461"/>
    <row r="462">
      <c r="A462" s="14" t="inlineStr">
        <is>
          <t>PAPER 19 — REACHING VS HOLDING / F-P COUNTER-ROTATION PAIR (4/3 ENTANGLEMENT THRESHOLD) (May 2026)</t>
        </is>
      </c>
    </row>
    <row r="463"/>
    <row r="464">
      <c r="A464" s="14" t="inlineStr">
        <is>
          <t>PAPER 18 — THE 4/3 ENTANGLEMENT THRESHOLD (Zenodo 19437878, Apr 2026) [CANONICAL]</t>
        </is>
      </c>
    </row>
    <row r="465">
      <c r="A465" s="11" t="inlineStr">
        <is>
          <t>P18-01</t>
        </is>
      </c>
      <c r="B465" t="inlineStr">
        <is>
          <t>Average von Neumann entropy of triple-crossing eigenstates Ŝ = (1 + 3/2 + 3/2)/3</t>
        </is>
      </c>
      <c r="C465" t="inlineStr">
        <is>
          <t>4/3 (exact)</t>
        </is>
      </c>
      <c r="D465" t="inlineStr">
        <is>
          <t>algebraic identity, parameter-independent (supersedes ENT-01)</t>
        </is>
      </c>
      <c r="E465" t="inlineStr">
        <is>
          <t>Paper 18</t>
        </is>
      </c>
      <c r="F465" t="inlineStr">
        <is>
          <t>§3.3</t>
        </is>
      </c>
      <c r="G465" t="inlineStr">
        <is>
          <t>—</t>
        </is>
      </c>
      <c r="H465" t="inlineStr">
        <is>
          <t>Beysengulov et al. 2024 (PRX Quantum, electrons on helium)</t>
        </is>
      </c>
      <c r="I465" t="inlineStr">
        <is>
          <t>Apr 2026</t>
        </is>
      </c>
      <c r="J465" t="inlineStr">
        <is>
          <t>CONFIRMED</t>
        </is>
      </c>
    </row>
    <row r="466">
      <c r="A466" s="11" t="inlineStr">
        <is>
          <t>P18-02</t>
        </is>
      </c>
      <c r="B466" t="inlineStr">
        <is>
          <t>Individual eigenstate entropies (antisymmetric / forward / inverse)</t>
        </is>
      </c>
      <c r="C466" t="inlineStr">
        <is>
          <t>{1, 3/2, 3/2}</t>
        </is>
      </c>
      <c r="D466" t="inlineStr">
        <is>
          <t>exact (Schmidt decomp; supersedes ENT-02)</t>
        </is>
      </c>
      <c r="E466" t="inlineStr">
        <is>
          <t>Paper 18</t>
        </is>
      </c>
      <c r="F466" t="inlineStr">
        <is>
          <t>§3.2 Tab 1</t>
        </is>
      </c>
      <c r="G466" t="inlineStr">
        <is>
          <t>—</t>
        </is>
      </c>
      <c r="H466" t="inlineStr">
        <is>
          <t>Derivation (Beysengulov Hamiltonian)</t>
        </is>
      </c>
      <c r="I466" t="inlineStr">
        <is>
          <t>Apr 2026</t>
        </is>
      </c>
      <c r="J466" t="inlineStr">
        <is>
          <t>CONFIRMED</t>
        </is>
      </c>
    </row>
    <row r="467">
      <c r="A467" s="11" t="inlineStr">
        <is>
          <t>P18-03</t>
        </is>
      </c>
      <c r="B467" t="inlineStr">
        <is>
          <t>Z₃ trit structure: 1 antisymmetric + 2 chiral conjugates</t>
        </is>
      </c>
      <c r="C467" t="inlineStr">
        <is>
          <t>1 + 2</t>
        </is>
      </c>
      <c r="D467" t="inlineStr">
        <is>
          <t>exact</t>
        </is>
      </c>
      <c r="E467" t="inlineStr">
        <is>
          <t>Paper 18</t>
        </is>
      </c>
      <c r="F467" t="inlineStr">
        <is>
          <t>§4</t>
        </is>
      </c>
      <c r="G467" t="inlineStr">
        <is>
          <t>—</t>
        </is>
      </c>
      <c r="H467" t="inlineStr">
        <is>
          <t>Derivation</t>
        </is>
      </c>
      <c r="I467" t="inlineStr">
        <is>
          <t>Apr 2026</t>
        </is>
      </c>
      <c r="J467" t="inlineStr">
        <is>
          <t>CONFIRMED</t>
        </is>
      </c>
    </row>
    <row r="468">
      <c r="A468" s="11" t="inlineStr">
        <is>
          <t>P18-04</t>
        </is>
      </c>
      <c r="B468" t="inlineStr">
        <is>
          <t>Coupling g_CI extracted from Beysengulov triple-crossing avoided gap</t>
        </is>
      </c>
      <c r="C468" t="inlineStr">
        <is>
          <t>≈ 113 MHz</t>
        </is>
      </c>
      <c r="D468" t="inlineStr">
        <is>
          <t>—</t>
        </is>
      </c>
      <c r="E468" t="inlineStr">
        <is>
          <t>Paper 18</t>
        </is>
      </c>
      <c r="F468" t="inlineStr">
        <is>
          <t>§2</t>
        </is>
      </c>
      <c r="G468" t="inlineStr">
        <is>
          <t>—</t>
        </is>
      </c>
      <c r="H468" t="inlineStr">
        <is>
          <t>Beysengulov et al. 2024</t>
        </is>
      </c>
      <c r="I468" t="inlineStr">
        <is>
          <t>Apr 2026</t>
        </is>
      </c>
      <c r="J468" t="inlineStr">
        <is>
          <t>CONFIRMED</t>
        </is>
      </c>
    </row>
    <row r="469">
      <c r="A469" s="11" t="inlineStr">
        <is>
          <t>P18-05</t>
        </is>
      </c>
      <c r="B469" t="inlineStr">
        <is>
          <t>Numerical verification of algebraic identity across coupling sweep g ∈ [50, 500] MHz</t>
        </is>
      </c>
      <c r="C469" t="inlineStr">
        <is>
          <t>|Ŝ − 4/3| &lt; 10⁻¹⁵</t>
        </is>
      </c>
      <c r="D469" t="inlineStr">
        <is>
          <t>machine precision</t>
        </is>
      </c>
      <c r="E469" t="inlineStr">
        <is>
          <t>Paper 18</t>
        </is>
      </c>
      <c r="F469" t="inlineStr">
        <is>
          <t>§3.4</t>
        </is>
      </c>
      <c r="G469" t="inlineStr">
        <is>
          <t>—</t>
        </is>
      </c>
      <c r="H469" t="inlineStr">
        <is>
          <t>Derivation + numerical sweep</t>
        </is>
      </c>
      <c r="I469" t="inlineStr">
        <is>
          <t>Apr 2026</t>
        </is>
      </c>
      <c r="J469" t="inlineStr">
        <is>
          <t>CONFIRMED</t>
        </is>
      </c>
    </row>
    <row r="470">
      <c r="A470" s="11" t="inlineStr">
        <is>
          <t>P18-06</t>
        </is>
      </c>
      <c r="B470" t="inlineStr">
        <is>
          <t>Beysengulov CI fit Ŝ at Configuration III</t>
        </is>
      </c>
      <c r="C470" t="inlineStr">
        <is>
          <t>1.330 (≈ 4/3 to 0.003)</t>
        </is>
      </c>
      <c r="D470" t="inlineStr">
        <is>
          <t>0.003 deviation = residual Coulomb asymmetry beyond effective model</t>
        </is>
      </c>
      <c r="E470" t="inlineStr">
        <is>
          <t>Paper 18</t>
        </is>
      </c>
      <c r="F470" t="inlineStr">
        <is>
          <t>§3.3</t>
        </is>
      </c>
      <c r="G470" t="inlineStr">
        <is>
          <t>—</t>
        </is>
      </c>
      <c r="H470" t="inlineStr">
        <is>
          <t>Beysengulov et al. 2024</t>
        </is>
      </c>
      <c r="I470" t="inlineStr">
        <is>
          <t>Apr 2026</t>
        </is>
      </c>
      <c r="J470" t="inlineStr">
        <is>
          <t>CONFIRMED</t>
        </is>
      </c>
    </row>
    <row r="471">
      <c r="A471" s="11" t="inlineStr">
        <is>
          <t>P18-07</t>
        </is>
      </c>
      <c r="B471" t="inlineStr">
        <is>
          <t>Cross-platform 4/3: ASDEX tokamak ELM decay α</t>
        </is>
      </c>
      <c r="C471" t="inlineStr">
        <is>
          <t>1.33</t>
        </is>
      </c>
      <c r="D471" t="inlineStr">
        <is>
          <t>±0.05 (fitted)</t>
        </is>
      </c>
      <c r="E471" t="inlineStr">
        <is>
          <t>Paper 18</t>
        </is>
      </c>
      <c r="F471" t="inlineStr">
        <is>
          <t>§5 Tab 2</t>
        </is>
      </c>
      <c r="G471" t="inlineStr">
        <is>
          <t>—</t>
        </is>
      </c>
      <c r="H471" t="inlineStr">
        <is>
          <t>ASDEX Upgrade</t>
        </is>
      </c>
      <c r="I471" t="inlineStr">
        <is>
          <t>Apr 2026</t>
        </is>
      </c>
      <c r="J471" t="inlineStr">
        <is>
          <t>CONFIRMED</t>
        </is>
      </c>
    </row>
    <row r="472">
      <c r="A472" s="11" t="inlineStr">
        <is>
          <t>P18-08</t>
        </is>
      </c>
      <c r="B472" t="inlineStr">
        <is>
          <t>Cross-platform 4/3: Hurricane Dorian intensification α (supersedes old P19-10)</t>
        </is>
      </c>
      <c r="C472" t="inlineStr">
        <is>
          <t>1.44</t>
        </is>
      </c>
      <c r="D472" t="inlineStr">
        <is>
          <t>±0.32 (fitted)</t>
        </is>
      </c>
      <c r="E472" t="inlineStr">
        <is>
          <t>Paper 18</t>
        </is>
      </c>
      <c r="F472" t="inlineStr">
        <is>
          <t>§5 Tab 2</t>
        </is>
      </c>
      <c r="G472" t="inlineStr">
        <is>
          <t>—</t>
        </is>
      </c>
      <c r="H472" t="inlineStr">
        <is>
          <t>Hurricane atmospheric data</t>
        </is>
      </c>
      <c r="I472" t="inlineStr">
        <is>
          <t>Apr 2026</t>
        </is>
      </c>
      <c r="J472" t="inlineStr">
        <is>
          <t>HEDGED</t>
        </is>
      </c>
    </row>
    <row r="473">
      <c r="A473" s="11" t="inlineStr">
        <is>
          <t>P18-09</t>
        </is>
      </c>
      <c r="B473" t="inlineStr">
        <is>
          <t>Cross-platform 4/3: IBM hardware T₂ distribution α</t>
        </is>
      </c>
      <c r="C473" t="inlineStr">
        <is>
          <t>1.32</t>
        </is>
      </c>
      <c r="D473" t="inlineStr">
        <is>
          <t>±0.07 (fitted)</t>
        </is>
      </c>
      <c r="E473" t="inlineStr">
        <is>
          <t>Paper 18</t>
        </is>
      </c>
      <c r="F473" t="inlineStr">
        <is>
          <t>§5 Tab 2</t>
        </is>
      </c>
      <c r="G473" t="inlineStr">
        <is>
          <t>—</t>
        </is>
      </c>
      <c r="H473" t="inlineStr">
        <is>
          <t>IBM Quantum</t>
        </is>
      </c>
      <c r="I473" t="inlineStr">
        <is>
          <t>Apr 2026</t>
        </is>
      </c>
      <c r="J473" t="inlineStr">
        <is>
          <t>CONFIRMED</t>
        </is>
      </c>
    </row>
    <row r="474">
      <c r="A474" s="11" t="inlineStr">
        <is>
          <t>P18-10</t>
        </is>
      </c>
      <c r="B474" t="inlineStr">
        <is>
          <t>Cross-platform 4/3: CHB-MIT EEG pre-seizure ACF α (supersedes old P19-08)</t>
        </is>
      </c>
      <c r="C474" t="inlineStr">
        <is>
          <t>1.23</t>
        </is>
      </c>
      <c r="D474" t="inlineStr">
        <is>
          <t>5/7 in window across 5 patients (chb01 strong, chb02 absent), p = 0.0004 vs chance</t>
        </is>
      </c>
      <c r="E474" t="inlineStr">
        <is>
          <t>Paper 18</t>
        </is>
      </c>
      <c r="F474" t="inlineStr">
        <is>
          <t>§5 Tab 2</t>
        </is>
      </c>
      <c r="G474" t="inlineStr">
        <is>
          <t>—</t>
        </is>
      </c>
      <c r="H474" t="inlineStr">
        <is>
          <t>CHB-MIT EEG</t>
        </is>
      </c>
      <c r="I474" t="inlineStr">
        <is>
          <t>Apr 2026</t>
        </is>
      </c>
      <c r="J474" t="inlineStr">
        <is>
          <t>HEDGED</t>
        </is>
      </c>
    </row>
    <row r="475">
      <c r="A475" s="11" t="inlineStr">
        <is>
          <t>P18-11</t>
        </is>
      </c>
      <c r="B475" t="inlineStr">
        <is>
          <t>Cross-platform 4/3: colloidal gel scattering function α</t>
        </is>
      </c>
      <c r="C475" t="inlineStr">
        <is>
          <t>1.35</t>
        </is>
      </c>
      <c r="D475" t="inlineStr">
        <is>
          <t>±0.07 (fitted)</t>
        </is>
      </c>
      <c r="E475" t="inlineStr">
        <is>
          <t>Paper 18</t>
        </is>
      </c>
      <c r="F475" t="inlineStr">
        <is>
          <t>§5 Tab 2</t>
        </is>
      </c>
      <c r="G475" t="inlineStr">
        <is>
          <t>—</t>
        </is>
      </c>
      <c r="H475" t="inlineStr">
        <is>
          <t>Soft matter literature</t>
        </is>
      </c>
      <c r="I475" t="inlineStr">
        <is>
          <t>Apr 2026</t>
        </is>
      </c>
      <c r="J475" t="inlineStr">
        <is>
          <t>CONFIRMED</t>
        </is>
      </c>
    </row>
    <row r="476">
      <c r="A476" s="11" t="inlineStr">
        <is>
          <t>P18-12</t>
        </is>
      </c>
      <c r="B476" t="inlineStr">
        <is>
          <t>Algebraic 4/3: electrons-on-He mean entropy (cross-ref P18-01)</t>
        </is>
      </c>
      <c r="C476" t="inlineStr">
        <is>
          <t>4/3 (exact)</t>
        </is>
      </c>
      <c r="D476" t="inlineStr">
        <is>
          <t>algebraic</t>
        </is>
      </c>
      <c r="E476" t="inlineStr">
        <is>
          <t>Paper 18</t>
        </is>
      </c>
      <c r="F476" t="inlineStr">
        <is>
          <t>§5 Tab 2</t>
        </is>
      </c>
      <c r="G476" t="inlineStr">
        <is>
          <t>—</t>
        </is>
      </c>
      <c r="H476" t="inlineStr">
        <is>
          <t>Derivation</t>
        </is>
      </c>
      <c r="I476" t="inlineStr">
        <is>
          <t>Apr 2026</t>
        </is>
      </c>
      <c r="J476" t="inlineStr">
        <is>
          <t>CONFIRMED</t>
        </is>
      </c>
    </row>
    <row r="477">
      <c r="A477" s="11" t="inlineStr">
        <is>
          <t>P18-13</t>
        </is>
      </c>
      <c r="B477" t="inlineStr">
        <is>
          <t>Algebraic 4/3: fusion ignition breathing window ratio (1+f) (cross-ref Paper 5/17)</t>
        </is>
      </c>
      <c r="C477" t="inlineStr">
        <is>
          <t>4/3 (exact)</t>
        </is>
      </c>
      <c r="D477" t="inlineStr">
        <is>
          <t>from E₆ Coxeter invariants</t>
        </is>
      </c>
      <c r="E477" t="inlineStr">
        <is>
          <t>Paper 18</t>
        </is>
      </c>
      <c r="F477" t="inlineStr">
        <is>
          <t>§5 Tab 2</t>
        </is>
      </c>
      <c r="G477" t="inlineStr">
        <is>
          <t>—</t>
        </is>
      </c>
      <c r="H477" t="inlineStr">
        <is>
          <t>Derivation</t>
        </is>
      </c>
      <c r="I477" t="inlineStr">
        <is>
          <t>Apr 2026</t>
        </is>
      </c>
      <c r="J477" t="inlineStr">
        <is>
          <t>CONFIRMED</t>
        </is>
      </c>
    </row>
    <row r="478"/>
    <row r="479">
      <c r="A479" s="14" t="inlineStr">
        <is>
          <t>PAPER 19 — BEYOND THE THRESHOLD: TRIANGLE OVERSHOOT (forthcoming, May 2026) [CANONICAL]</t>
        </is>
      </c>
    </row>
    <row r="480">
      <c r="A480" s="11" t="inlineStr">
        <is>
          <t>P19-01</t>
        </is>
      </c>
      <c r="B480" t="inlineStr">
        <is>
          <t>Collapse boundary of operational window (E₆ Coxeter)</t>
        </is>
      </c>
      <c r="C480" t="inlineStr">
        <is>
          <t>3/2</t>
        </is>
      </c>
      <c r="D480" t="inlineStr">
        <is>
          <t>architectural</t>
        </is>
      </c>
      <c r="E480" t="inlineStr">
        <is>
          <t>Paper 19</t>
        </is>
      </c>
      <c r="F480" t="inlineStr">
        <is>
          <t>§2.2</t>
        </is>
      </c>
      <c r="G480" t="inlineStr">
        <is>
          <t>—</t>
        </is>
      </c>
      <c r="H480" t="inlineStr">
        <is>
          <t>Derivation</t>
        </is>
      </c>
      <c r="I480" t="inlineStr">
        <is>
          <t>May 2026</t>
        </is>
      </c>
      <c r="J480" t="inlineStr">
        <is>
          <t>CONFIRMED</t>
        </is>
      </c>
    </row>
    <row r="481">
      <c r="A481" s="11" t="inlineStr">
        <is>
          <t>P19-02</t>
        </is>
      </c>
      <c r="B481" t="inlineStr">
        <is>
          <t>Operational window attractor R_∞ (spectral radius)</t>
        </is>
      </c>
      <c r="C481" t="inlineStr">
        <is>
          <t>1.4793</t>
        </is>
      </c>
      <c r="D481" t="inlineStr">
        <is>
          <t>±0.004 across L = 18-72</t>
        </is>
      </c>
      <c r="E481" t="inlineStr">
        <is>
          <t>Paper 19</t>
        </is>
      </c>
      <c r="F481" t="inlineStr">
        <is>
          <t>§2.3</t>
        </is>
      </c>
      <c r="G481" t="inlineStr">
        <is>
          <t>—</t>
        </is>
      </c>
      <c r="H481" t="inlineStr">
        <is>
          <t>Derivation + numerical sweep</t>
        </is>
      </c>
      <c r="I481" t="inlineStr">
        <is>
          <t>May 2026</t>
        </is>
      </c>
      <c r="J481" t="inlineStr">
        <is>
          <t>CONFIRMED</t>
        </is>
      </c>
    </row>
    <row r="482">
      <c r="A482" s="11" t="inlineStr">
        <is>
          <t>P19-03</t>
        </is>
      </c>
      <c r="B482" t="inlineStr">
        <is>
          <t>F-only (σ-equivariant hold) threshold p₉₀/p₁₀</t>
        </is>
      </c>
      <c r="C482" t="inlineStr">
        <is>
          <t>1.333 (≈ 4/3)</t>
        </is>
      </c>
      <c r="D482" t="inlineStr">
        <is>
          <t>to 3 decimals</t>
        </is>
      </c>
      <c r="E482" t="inlineStr">
        <is>
          <t>Paper 19</t>
        </is>
      </c>
      <c r="F482" t="inlineStr">
        <is>
          <t>§4.5.3</t>
        </is>
      </c>
      <c r="G482" t="inlineStr">
        <is>
          <t>paper19_F_P_stabilisation_test.py</t>
        </is>
      </c>
      <c r="H482" t="inlineStr">
        <is>
          <t>Synthetic</t>
        </is>
      </c>
      <c r="I482" t="inlineStr">
        <is>
          <t>May 2026</t>
        </is>
      </c>
      <c r="J482" t="inlineStr">
        <is>
          <t>CONFIRMED</t>
        </is>
      </c>
    </row>
    <row r="483">
      <c r="A483" s="11" t="inlineStr">
        <is>
          <t>P19-04</t>
        </is>
      </c>
      <c r="B483" t="inlineStr">
        <is>
          <t>P-only (σ-odd) overshoot peak p₉₀/p₁₀</t>
        </is>
      </c>
      <c r="C483" t="inlineStr">
        <is>
          <t>1.451 (~1.46)</t>
        </is>
      </c>
      <c r="D483" t="inlineStr">
        <is>
          <t>approaches R_∞ = 1.4793</t>
        </is>
      </c>
      <c r="E483" t="inlineStr">
        <is>
          <t>Paper 19</t>
        </is>
      </c>
      <c r="F483" t="inlineStr">
        <is>
          <t>§4.5.3</t>
        </is>
      </c>
      <c r="G483" t="inlineStr">
        <is>
          <t>paper19_F_P_stabilisation_test.py</t>
        </is>
      </c>
      <c r="H483" t="inlineStr">
        <is>
          <t>Synthetic</t>
        </is>
      </c>
      <c r="I483" t="inlineStr">
        <is>
          <t>May 2026</t>
        </is>
      </c>
      <c r="J483" t="inlineStr">
        <is>
          <t>CONFIRMED</t>
        </is>
      </c>
    </row>
    <row r="484">
      <c r="A484" s="11" t="inlineStr">
        <is>
          <t>P19-05</t>
        </is>
      </c>
      <c r="B484" t="inlineStr">
        <is>
          <t>F+P strong stabilisation: CV collapse from P-only baseline 0.85+</t>
        </is>
      </c>
      <c r="C484" t="inlineStr">
        <is>
          <t>0.657</t>
        </is>
      </c>
      <c r="D484" t="inlineStr">
        <is>
          <t>—</t>
        </is>
      </c>
      <c r="E484" t="inlineStr">
        <is>
          <t>Paper 19</t>
        </is>
      </c>
      <c r="F484" t="inlineStr">
        <is>
          <t>§4.5.3</t>
        </is>
      </c>
      <c r="G484" t="inlineStr">
        <is>
          <t>paper19_F_P_stabilisation_test.py</t>
        </is>
      </c>
      <c r="H484" t="inlineStr">
        <is>
          <t>Synthetic</t>
        </is>
      </c>
      <c r="I484" t="inlineStr">
        <is>
          <t>May 2026</t>
        </is>
      </c>
      <c r="J484" t="inlineStr">
        <is>
          <t>CONFIRMED</t>
        </is>
      </c>
    </row>
    <row r="485">
      <c r="A485" s="11" t="inlineStr">
        <is>
          <t>P19-06</t>
        </is>
      </c>
      <c r="B485" t="inlineStr">
        <is>
          <t>F+P stabilisation p₁₀ bound</t>
        </is>
      </c>
      <c r="C485" t="inlineStr">
        <is>
          <t>0.584</t>
        </is>
      </c>
      <c r="D485" t="inlineStr">
        <is>
          <t>within 3% of 3/5 = 0.600</t>
        </is>
      </c>
      <c r="E485" t="inlineStr">
        <is>
          <t>Paper 19</t>
        </is>
      </c>
      <c r="F485" t="inlineStr">
        <is>
          <t>§4.5.3</t>
        </is>
      </c>
      <c r="G485" t="inlineStr">
        <is>
          <t>paper19_F_P_stabilisation_test.py</t>
        </is>
      </c>
      <c r="H485" t="inlineStr">
        <is>
          <t>Synthetic</t>
        </is>
      </c>
      <c r="I485" t="inlineStr">
        <is>
          <t>May 2026</t>
        </is>
      </c>
      <c r="J485" t="inlineStr">
        <is>
          <t>CONFIRMED</t>
        </is>
      </c>
    </row>
    <row r="486">
      <c r="A486" s="11" t="inlineStr">
        <is>
          <t>P19-07</t>
        </is>
      </c>
      <c r="B486" t="inlineStr">
        <is>
          <t>HYT meditator sustained ratio (4/3 threshold approach)</t>
        </is>
      </c>
      <c r="C486" t="inlineStr">
        <is>
          <t>1.361</t>
        </is>
      </c>
      <c r="D486" t="inlineStr">
        <is>
          <t>±0.028 of 4/3</t>
        </is>
      </c>
      <c r="E486" t="inlineStr">
        <is>
          <t>Paper 19</t>
        </is>
      </c>
      <c r="F486" t="inlineStr">
        <is>
          <t>§6.3</t>
        </is>
      </c>
      <c r="G486" t="inlineStr">
        <is>
          <t>—</t>
        </is>
      </c>
      <c r="H486" t="inlineStr">
        <is>
          <t>EEG (HYT cohort)</t>
        </is>
      </c>
      <c r="I486" t="inlineStr">
        <is>
          <t>May 2026</t>
        </is>
      </c>
      <c r="J486" t="inlineStr">
        <is>
          <t>PENDING</t>
        </is>
      </c>
    </row>
    <row r="487"/>
    <row r="488">
      <c r="A488" s="14" t="inlineStr">
        <is>
          <t>PAPER 4 — WHAT CAN QUANTUM COMPUTING LEARN FROM ENZYMES? (Zenodo 20113876, May 2026)</t>
        </is>
      </c>
    </row>
    <row r="489">
      <c r="A489" s="11" t="inlineStr">
        <is>
          <t>P4-01</t>
        </is>
      </c>
      <c r="B489" t="inlineStr">
        <is>
          <t>Test 1' (S delivery): output substrate purity</t>
        </is>
      </c>
      <c r="C489" t="inlineStr">
        <is>
          <t>0.678</t>
        </is>
      </c>
      <c r="D489" t="inlineStr">
        <is>
          <t>±0.001</t>
        </is>
      </c>
      <c r="E489" t="inlineStr">
        <is>
          <t>Paper 4</t>
        </is>
      </c>
      <c r="F489" t="inlineStr">
        <is>
          <t>§6.5</t>
        </is>
      </c>
      <c r="G489" t="inlineStr">
        <is>
          <t>enzyme_analog_v1.py</t>
        </is>
      </c>
      <c r="H489" t="inlineStr">
        <is>
          <t>Synthetic</t>
        </is>
      </c>
      <c r="I489" t="inlineStr">
        <is>
          <t>May 2026</t>
        </is>
      </c>
      <c r="J489" t="inlineStr">
        <is>
          <t>CONFIRMED</t>
        </is>
      </c>
    </row>
    <row r="490">
      <c r="A490" s="11" t="inlineStr">
        <is>
          <t>P4-02</t>
        </is>
      </c>
      <c r="B490" t="inlineStr">
        <is>
          <t>Test 1' output coherence L₁ (S-delivery metric)</t>
        </is>
      </c>
      <c r="C490" t="inlineStr">
        <is>
          <t>1.657</t>
        </is>
      </c>
      <c r="D490" t="inlineStr">
        <is>
          <t>±0.001</t>
        </is>
      </c>
      <c r="E490" t="inlineStr">
        <is>
          <t>Paper 4</t>
        </is>
      </c>
      <c r="F490" t="inlineStr">
        <is>
          <t>§6.5</t>
        </is>
      </c>
      <c r="G490" t="inlineStr">
        <is>
          <t>enzyme_analog_v1.py</t>
        </is>
      </c>
      <c r="H490" t="inlineStr">
        <is>
          <t>Synthetic</t>
        </is>
      </c>
      <c r="I490" t="inlineStr">
        <is>
          <t>May 2026</t>
        </is>
      </c>
      <c r="J490" t="inlineStr">
        <is>
          <t>CONFIRMED</t>
        </is>
      </c>
    </row>
    <row r="491">
      <c r="A491" s="11" t="inlineStr">
        <is>
          <t>P4-03</t>
        </is>
      </c>
      <c r="B491" t="inlineStr">
        <is>
          <t>Test 2' P-last mean purity (6 orderings, P immediately before S)</t>
        </is>
      </c>
      <c r="C491" t="inlineStr">
        <is>
          <t>0.722</t>
        </is>
      </c>
      <c r="D491" t="inlineStr">
        <is>
          <t>±0.030</t>
        </is>
      </c>
      <c r="E491" t="inlineStr">
        <is>
          <t>Paper 4</t>
        </is>
      </c>
      <c r="F491" t="inlineStr">
        <is>
          <t>§6.5</t>
        </is>
      </c>
      <c r="G491" t="inlineStr">
        <is>
          <t>enzyme_analog_v1.py</t>
        </is>
      </c>
      <c r="H491" t="inlineStr">
        <is>
          <t>Synthetic</t>
        </is>
      </c>
      <c r="I491" t="inlineStr">
        <is>
          <t>May 2026</t>
        </is>
      </c>
      <c r="J491" t="inlineStr">
        <is>
          <t>CONFIRMED</t>
        </is>
      </c>
    </row>
    <row r="492">
      <c r="A492" s="11" t="inlineStr">
        <is>
          <t>P4-04</t>
        </is>
      </c>
      <c r="B492" t="inlineStr">
        <is>
          <t>Test 2' P-elsewhere mean purity (18 orderings, P not last)</t>
        </is>
      </c>
      <c r="C492" t="inlineStr">
        <is>
          <t>0.794</t>
        </is>
      </c>
      <c r="D492" t="inlineStr">
        <is>
          <t>±0.008</t>
        </is>
      </c>
      <c r="E492" t="inlineStr">
        <is>
          <t>Paper 4</t>
        </is>
      </c>
      <c r="F492" t="inlineStr">
        <is>
          <t>§6.5</t>
        </is>
      </c>
      <c r="G492" t="inlineStr">
        <is>
          <t>enzyme_analog_v1.py</t>
        </is>
      </c>
      <c r="H492" t="inlineStr">
        <is>
          <t>Synthetic</t>
        </is>
      </c>
      <c r="I492" t="inlineStr">
        <is>
          <t>May 2026</t>
        </is>
      </c>
      <c r="J492" t="inlineStr">
        <is>
          <t>CONFIRMED</t>
        </is>
      </c>
    </row>
    <row r="493">
      <c r="A493" s="11" t="inlineStr">
        <is>
          <t>P4-05</t>
        </is>
      </c>
      <c r="B493" t="inlineStr">
        <is>
          <t>Test 5' round-trip fidelity (forward-reverse cycle closure, unitary idealisation)</t>
        </is>
      </c>
      <c r="C493" t="inlineStr">
        <is>
          <t>1.000</t>
        </is>
      </c>
      <c r="D493" t="inlineStr">
        <is>
          <t>±0.000 (exact)</t>
        </is>
      </c>
      <c r="E493" t="inlineStr">
        <is>
          <t>Paper 4</t>
        </is>
      </c>
      <c r="F493" t="inlineStr">
        <is>
          <t>§7.7</t>
        </is>
      </c>
      <c r="G493" t="inlineStr">
        <is>
          <t>enzyme_analog_v2.py</t>
        </is>
      </c>
      <c r="H493" t="inlineStr">
        <is>
          <t>Synthetic</t>
        </is>
      </c>
      <c r="I493" t="inlineStr">
        <is>
          <t>May 2026</t>
        </is>
      </c>
      <c r="J493" t="inlineStr">
        <is>
          <t>CONFIRMED</t>
        </is>
      </c>
    </row>
    <row r="494">
      <c r="A494" s="11" t="inlineStr">
        <is>
          <t>P4-06</t>
        </is>
      </c>
      <c r="B494" t="inlineStr">
        <is>
          <t>Test 6' obstruction sweep: F_rt at ε = π/2</t>
        </is>
      </c>
      <c r="C494" t="inlineStr">
        <is>
          <t>0.625</t>
        </is>
      </c>
      <c r="D494" t="inlineStr">
        <is>
          <t>±0.001 (sin²(ε/2) corr = 1.0000)</t>
        </is>
      </c>
      <c r="E494" t="inlineStr">
        <is>
          <t>Paper 4</t>
        </is>
      </c>
      <c r="F494" t="inlineStr">
        <is>
          <t>§7.7</t>
        </is>
      </c>
      <c r="G494" t="inlineStr">
        <is>
          <t>enzyme_analog_v2.py</t>
        </is>
      </c>
      <c r="H494" t="inlineStr">
        <is>
          <t>Synthetic</t>
        </is>
      </c>
      <c r="I494" t="inlineStr">
        <is>
          <t>May 2026</t>
        </is>
      </c>
      <c r="J494" t="inlineStr">
        <is>
          <t>CONFIRMED</t>
        </is>
      </c>
    </row>
    <row r="495">
      <c r="A495" s="11" t="inlineStr">
        <is>
          <t>P4-07</t>
        </is>
      </c>
      <c r="B495" t="inlineStr">
        <is>
          <t>PSII Kok-cycle resonance: rate at T = 12 (Coxeter frequency)</t>
        </is>
      </c>
      <c r="C495" t="inlineStr">
        <is>
          <t>0.1667</t>
        </is>
      </c>
      <c r="D495" t="inlineStr">
        <is>
          <t>±0.002</t>
        </is>
      </c>
      <c r="E495" t="inlineStr">
        <is>
          <t>Paper 4</t>
        </is>
      </c>
      <c r="F495" t="inlineStr">
        <is>
          <t>§9.5</t>
        </is>
      </c>
      <c r="G495" t="inlineStr">
        <is>
          <t>psii_kok_resonance.py</t>
        </is>
      </c>
      <c r="H495" t="inlineStr">
        <is>
          <t>Synthetic</t>
        </is>
      </c>
      <c r="I495" t="inlineStr">
        <is>
          <t>May 2026</t>
        </is>
      </c>
      <c r="J495" t="inlineStr">
        <is>
          <t>PARTIAL</t>
        </is>
      </c>
    </row>
    <row r="496">
      <c r="A496" s="11" t="inlineStr">
        <is>
          <t>P4-08</t>
        </is>
      </c>
      <c r="B496" t="inlineStr">
        <is>
          <t>PSII resonance relative boost vs neighbours T=11, 13</t>
        </is>
      </c>
      <c r="C496" t="inlineStr">
        <is>
          <t>+94.2%</t>
        </is>
      </c>
      <c r="D496" t="inlineStr">
        <is>
          <t>±2% — does NOT exceed undriven baseline 0.20 (falsifies stronger version of prediction)</t>
        </is>
      </c>
      <c r="E496" t="inlineStr">
        <is>
          <t>Paper 4</t>
        </is>
      </c>
      <c r="F496" t="inlineStr">
        <is>
          <t>§9.5</t>
        </is>
      </c>
      <c r="G496" t="inlineStr">
        <is>
          <t>psii_kok_resonance.py</t>
        </is>
      </c>
      <c r="H496" t="inlineStr">
        <is>
          <t>Synthetic</t>
        </is>
      </c>
      <c r="I496" t="inlineStr">
        <is>
          <t>May 2026</t>
        </is>
      </c>
      <c r="J496" t="inlineStr">
        <is>
          <t>HEDGED</t>
        </is>
      </c>
    </row>
    <row r="497">
      <c r="A497" s="11" t="inlineStr">
        <is>
          <t>P4-09</t>
        </is>
      </c>
      <c r="B497" t="inlineStr">
        <is>
          <t>Hardware confirmation: 5/5 gates {R, T, S, F, P} on IBM Eagle r3 / Heron r2 (S in simulation)</t>
        </is>
      </c>
      <c r="C497" t="inlineStr">
        <is>
          <t>5/5 confirmed</t>
        </is>
      </c>
      <c r="D497" t="inlineStr">
        <is>
          <t>Berry-phase fidelity 96.4% (cross-ref P25)</t>
        </is>
      </c>
      <c r="E497" t="inlineStr">
        <is>
          <t>Paper 4</t>
        </is>
      </c>
      <c r="F497" t="inlineStr">
        <is>
          <t>§8.2</t>
        </is>
      </c>
      <c r="G497" t="inlineStr">
        <is>
          <t>—</t>
        </is>
      </c>
      <c r="H497" t="inlineStr">
        <is>
          <t>IBM Eagle r3 + Heron r2</t>
        </is>
      </c>
      <c r="I497" t="inlineStr">
        <is>
          <t>May 2026</t>
        </is>
      </c>
      <c r="J497" t="inlineStr">
        <is>
          <t>CONFIRMED</t>
        </is>
      </c>
    </row>
    <row r="498">
      <c r="A498" s="11" t="inlineStr">
        <is>
          <t>P4-10</t>
        </is>
      </c>
      <c r="B498" t="inlineStr">
        <is>
          <t>Canonical enzyme decomposition negative result: 12 enzymes / 68 catalytic steps span EC 1-7</t>
        </is>
      </c>
      <c r="C498" t="inlineStr">
        <is>
          <t>0 / 68 sixth-operation occurrences</t>
        </is>
      </c>
      <c r="D498" t="inlineStr">
        <is>
          <t>no counterexample to 5-gate sufficiency found</t>
        </is>
      </c>
      <c r="E498" t="inlineStr">
        <is>
          <t>Paper 4</t>
        </is>
      </c>
      <c r="F498" t="inlineStr">
        <is>
          <t>§4.1 §6</t>
        </is>
      </c>
      <c r="G498" t="inlineStr">
        <is>
          <t>enzyme_analog_v1.py</t>
        </is>
      </c>
      <c r="H498" t="inlineStr">
        <is>
          <t>Curated enzyme set (BRENDA/KEGG)</t>
        </is>
      </c>
      <c r="I498" t="inlineStr">
        <is>
          <t>May 2026</t>
        </is>
      </c>
      <c r="J498" t="inlineStr">
        <is>
          <t>CONFIRMED</t>
        </is>
      </c>
    </row>
  </sheetData>
  <mergeCells count="28">
    <mergeCell ref="A374:J374"/>
    <mergeCell ref="A479:J479"/>
    <mergeCell ref="A460:J460"/>
    <mergeCell ref="A323:J323"/>
    <mergeCell ref="A451:J451"/>
    <mergeCell ref="A401:J401"/>
    <mergeCell ref="A332:J332"/>
    <mergeCell ref="A435:J435"/>
    <mergeCell ref="A382:J382"/>
    <mergeCell ref="A295:J295"/>
    <mergeCell ref="A391:J391"/>
    <mergeCell ref="A279:J279"/>
    <mergeCell ref="A304:J304"/>
    <mergeCell ref="A462:J462"/>
    <mergeCell ref="A358:J358"/>
    <mergeCell ref="A1:J1"/>
    <mergeCell ref="A349:J349"/>
    <mergeCell ref="A339:J339"/>
    <mergeCell ref="A315:J315"/>
    <mergeCell ref="A417:J417"/>
    <mergeCell ref="A488:J488"/>
    <mergeCell ref="A427:J427"/>
    <mergeCell ref="A271:J271"/>
    <mergeCell ref="A366:J366"/>
    <mergeCell ref="A409:J409"/>
    <mergeCell ref="A443:J443"/>
    <mergeCell ref="A2:J2"/>
    <mergeCell ref="A464:J4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2" customWidth="1" min="4" max="4"/>
    <col width="16" customWidth="1" min="5" max="5"/>
    <col width="34" customWidth="1" min="6" max="6"/>
    <col width="36" customWidth="1" min="8" max="8"/>
  </cols>
  <sheetData>
    <row r="1">
      <c r="A1" s="1" t="inlineStr">
        <is>
          <t>Dataset Provenance — All Datasets Used</t>
        </is>
      </c>
    </row>
    <row r="2">
      <c r="A2" s="2" t="inlineStr">
        <is>
          <t>Zenodo DOIs, file counts, measurement types, and analysis applicability</t>
        </is>
      </c>
    </row>
    <row r="3"/>
    <row r="4">
      <c r="A4" s="3" t="inlineStr">
        <is>
          <t>Dataset ID</t>
        </is>
      </c>
      <c r="B4" t="inlineStr">
        <is>
          <t>Authors / Year</t>
        </is>
      </c>
      <c r="C4" t="inlineStr">
        <is>
          <t>Zenodo DOI</t>
        </is>
      </c>
      <c r="D4" t="inlineStr">
        <is>
          <t>Platform</t>
        </is>
      </c>
      <c r="E4" t="inlineStr">
        <is>
          <t>Files / Size</t>
        </is>
      </c>
      <c r="F4" t="inlineStr">
        <is>
          <t>Measurement Types</t>
        </is>
      </c>
      <c r="G4" t="inlineStr">
        <is>
          <t>Used For</t>
        </is>
      </c>
      <c r="H4" t="inlineStr">
        <is>
          <t>Notes</t>
        </is>
      </c>
    </row>
    <row r="5">
      <c r="A5" s="4" t="inlineStr">
        <is>
          <t>VRD-2024</t>
        </is>
      </c>
      <c r="B5" t="inlineStr">
        <is>
          <t>van Riggelen-Doelman et al. 2024</t>
        </is>
      </c>
      <c r="C5" t="inlineStr">
        <is>
          <t>10.5281/zenodo.11203148</t>
        </is>
      </c>
      <c r="D5" t="inlineStr">
        <is>
          <t>Ge/SiGe 2×2 hole spin array</t>
        </is>
      </c>
      <c r="E5" t="inlineStr">
        <is>
          <t>16,162 .dat files (QCoDeS)</t>
        </is>
      </c>
      <c r="F5" t="inlineStr">
        <is>
          <t>Ramsey decay, spin shuttling, SWAP oscillations, spin-up/down resolved decay</t>
        </is>
      </c>
      <c r="G5" t="inlineStr">
        <is>
          <t>Scaling law, counter-rotation, phase winding, spin asymmetry, cos(θ) identity</t>
        </is>
      </c>
      <c r="H5" t="inlineStr">
        <is>
          <t>PRIMARY dataset. All core companion paper results.</t>
        </is>
      </c>
    </row>
    <row r="6">
      <c r="A6" s="5" t="inlineStr">
        <is>
          <t>ZHANG-2024</t>
        </is>
      </c>
      <c r="B6" t="inlineStr">
        <is>
          <t>Zhang et al. 2024</t>
        </is>
      </c>
      <c r="C6" t="inlineStr">
        <is>
          <t>10.5281/zenodo.12801188</t>
        </is>
      </c>
      <c r="D6" t="inlineStr">
        <is>
          <t>Ge/SiGe 2×4 ST qubit array</t>
        </is>
      </c>
      <c r="E6" t="inlineStr">
        <is>
          <t>~500 files</t>
        </is>
      </c>
      <c r="F6" t="inlineStr">
        <is>
          <t>Exchange-driven ST operations, SWAP oscillations, charge stability maps</t>
        </is>
      </c>
      <c r="G6" t="inlineStr">
        <is>
          <t>Pairwise cos(θ) test (inconclusive — wrong experiment type for shuttling formula)</t>
        </is>
      </c>
      <c r="H6" t="inlineStr">
        <is>
          <t>Exchange-driven, not diabatic shuttling. cos(θ) identity not testable here.</t>
        </is>
      </c>
    </row>
    <row r="7">
      <c r="A7" s="4" t="inlineStr">
        <is>
          <t>TSOUKALAS-2026</t>
        </is>
      </c>
      <c r="B7" t="inlineStr">
        <is>
          <t>Tsoukalas et al. 2026</t>
        </is>
      </c>
      <c r="C7" t="inlineStr">
        <is>
          <t>TBA — Nat. Comms. 2026</t>
        </is>
      </c>
      <c r="D7" t="inlineStr">
        <is>
          <t>Dressed ST qubit, Ge, low B and J</t>
        </is>
      </c>
      <c r="E7" t="inlineStr">
        <is>
          <t>TBA</t>
        </is>
      </c>
      <c r="F7" t="inlineStr">
        <is>
          <t>Ramsey decay, dressed qubit coherence, B-sweep</t>
        </is>
      </c>
      <c r="G7" t="inlineStr">
        <is>
          <t>α uncertainty quantification, MBL exclusion, α=4/3 consistency</t>
        </is>
      </c>
      <c r="H7" t="inlineStr">
        <is>
          <t>Corroborating observation. J_ratio unmeasured (f_ΔG below FFT resolution).</t>
        </is>
      </c>
    </row>
    <row r="8">
      <c r="A8" s="5" t="inlineStr">
        <is>
          <t>XIANG-2024</t>
        </is>
      </c>
      <c r="B8" t="inlineStr">
        <is>
          <t>Xiang et al. 2024</t>
        </is>
      </c>
      <c r="C8" t="inlineStr">
        <is>
          <t>10.5281/zenodo.13692134</t>
        </is>
      </c>
      <c r="D8" t="inlineStr">
        <is>
          <t>Google Sycamore SC transmons</t>
        </is>
      </c>
      <c r="E8" t="inlineStr">
        <is>
          <t>Multiple .mat files</t>
        </is>
      </c>
      <c r="F8" t="inlineStr">
        <is>
          <t>Stroboscopic local Z operators, stabilizer operators, disorder sweep</t>
        </is>
      </c>
      <c r="G8" t="inlineStr">
        <is>
          <t>α vs disorder correlation, cooperative cascade, short-time scaling, n*=12</t>
        </is>
      </c>
      <c r="H8" t="inlineStr">
        <is>
          <t>Topological prethermal DTC. Cross-platform α confirmation.</t>
        </is>
      </c>
    </row>
    <row r="9">
      <c r="A9" s="4" t="inlineStr">
        <is>
          <t>MI-2022</t>
        </is>
      </c>
      <c r="B9" t="inlineStr">
        <is>
          <t>Mi et al. 2022</t>
        </is>
      </c>
      <c r="C9" t="inlineStr">
        <is>
          <t>10.5281/zenodo.5570676</t>
        </is>
      </c>
      <c r="D9" t="inlineStr">
        <is>
          <t>Google Sycamore SC transmons</t>
        </is>
      </c>
      <c r="E9" t="inlineStr">
        <is>
          <t>Multiple files</t>
        </is>
      </c>
      <c r="F9" t="inlineStr">
        <is>
          <t>Stroboscopic local Z operators, MBL regime</t>
        </is>
      </c>
      <c r="G9" t="inlineStr">
        <is>
          <t>Negative control (α=0.82), cooperative cascade absent in MBL</t>
        </is>
      </c>
      <c r="H9" t="inlineStr">
        <is>
          <t>MBL DTC. Correctly predicted negative result.</t>
        </is>
      </c>
    </row>
    <row r="10">
      <c r="A10" s="5" t="inlineStr">
        <is>
          <t>JADOT-2021</t>
        </is>
      </c>
      <c r="B10" t="inlineStr">
        <is>
          <t>Jadot et al. 2021</t>
        </is>
      </c>
      <c r="C10" t="inlineStr">
        <is>
          <t>10.5281/zenodo.4115984</t>
        </is>
      </c>
      <c r="D10" t="inlineStr">
        <is>
          <t>GaAs 4-dot SAW shuttling</t>
        </is>
      </c>
      <c r="E10" t="inlineStr">
        <is>
          <t>11 .mat files (~4.7 MB)</t>
        </is>
      </c>
      <c r="F10" t="inlineStr">
        <is>
          <t>Singlet probability vs delay and B-field (Fig 4c interference)</t>
        </is>
      </c>
      <c r="G10" t="inlineStr">
        <is>
          <t>Platform test: passive singlet preservation in GaAs (not active counter-rotation)</t>
        </is>
      </c>
      <c r="H10" t="inlineStr">
        <is>
          <t>GaAs, weak SOI. Near-zero differential phase winding via zero-spin symmetry.</t>
        </is>
      </c>
    </row>
    <row r="11">
      <c r="A11" s="4" t="inlineStr">
        <is>
          <t>GEYER-2024</t>
        </is>
      </c>
      <c r="B11" t="inlineStr">
        <is>
          <t>Geyer et al. 2024</t>
        </is>
      </c>
      <c r="C11" t="inlineStr">
        <is>
          <t>10.5281/zenodo.7547764</t>
        </is>
      </c>
      <c r="D11" t="inlineStr">
        <is>
          <t>Si FinFET hole spin DQD</t>
        </is>
      </c>
      <c r="E11" t="inlineStr">
        <is>
          <t>24 files (~7.5 MB)</t>
        </is>
      </c>
      <c r="F11" t="inlineStr">
        <is>
          <t>Anisotropic exchange vs B-field orientation (5 planes), CROT gates</t>
        </is>
      </c>
      <c r="G11" t="inlineStr">
        <is>
          <t>Platform test: co-rotation geometry in Si (negative result)</t>
        </is>
      </c>
      <c r="H11" t="inlineStr">
        <is>
          <t>Si, not Ge. g-tensor anisotropy 10× smaller. No shuttling data.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2" customWidth="1" min="3" max="3"/>
    <col width="16" customWidth="1" min="4" max="4"/>
    <col width="40" customWidth="1" min="5" max="5"/>
    <col width="14" customWidth="1" min="6" max="6"/>
    <col width="24" customWidth="1" min="7" max="7"/>
  </cols>
  <sheetData>
    <row r="1">
      <c r="A1" s="1" t="inlineStr">
        <is>
          <t>Analysis Scripts Directory</t>
        </is>
      </c>
    </row>
    <row r="2">
      <c r="A2" s="2" t="inlineStr">
        <is>
          <t>Every script that produced a cited result — organised by dataset</t>
        </is>
      </c>
    </row>
    <row r="3"/>
    <row r="4">
      <c r="A4" s="3" t="inlineStr">
        <is>
          <t>Script Name</t>
        </is>
      </c>
      <c r="B4" t="inlineStr">
        <is>
          <t>Dataset</t>
        </is>
      </c>
      <c r="C4" t="inlineStr">
        <is>
          <t>Computes</t>
        </is>
      </c>
      <c r="D4" t="inlineStr">
        <is>
          <t>Paper / Section</t>
        </is>
      </c>
      <c r="E4" t="inlineStr">
        <is>
          <t>Key Output Numbers</t>
        </is>
      </c>
      <c r="F4" t="inlineStr">
        <is>
          <t>Status</t>
        </is>
      </c>
      <c r="G4" t="inlineStr">
        <is>
          <t>Location</t>
        </is>
      </c>
    </row>
    <row r="5">
      <c r="A5" s="4" t="inlineStr">
        <is>
          <t>decoherence_scaling_law.py</t>
        </is>
      </c>
      <c r="B5" t="inlineStr">
        <is>
          <t>VRD-2024</t>
        </is>
      </c>
      <c r="C5" t="inlineStr">
        <is>
          <t>KWW fits for Q1-Q3, J_ratio extraction, linear scaling law α vs J_ratio</t>
        </is>
      </c>
      <c r="D5" t="inlineStr">
        <is>
          <t>Companion 3.1</t>
        </is>
      </c>
      <c r="E5" t="inlineStr">
        <is>
          <t>r=−0.998, R²=0.995, slope=−0.172, intercept=2.143</t>
        </is>
      </c>
      <c r="F5" t="inlineStr">
        <is>
          <t>COMPLETE</t>
        </is>
      </c>
      <c r="G5" t="inlineStr">
        <is>
          <t>Data_NatCom_Final/</t>
        </is>
      </c>
    </row>
    <row r="6">
      <c r="A6" s="5" t="inlineStr">
        <is>
          <t>q4_exclusion_analysis.py</t>
        </is>
      </c>
      <c r="B6" t="inlineStr">
        <is>
          <t>VRD-2024</t>
        </is>
      </c>
      <c r="C6" t="inlineStr">
        <is>
          <t>Q4 Ramsey decay fit quality, FFT two-frequency analysis, envelope ratio</t>
        </is>
      </c>
      <c r="D6" t="inlineStr">
        <is>
          <t>Companion 3.2</t>
        </is>
      </c>
      <c r="E6" t="inlineStr">
        <is>
          <t>R²=0.641, envelope 1.15×, two freqs 9.97/10.30 MHz</t>
        </is>
      </c>
      <c r="F6" t="inlineStr">
        <is>
          <t>COMPLETE</t>
        </is>
      </c>
      <c r="G6" t="inlineStr">
        <is>
          <t>Data_NatCom_Final/</t>
        </is>
      </c>
    </row>
    <row r="7">
      <c r="A7" s="4" t="inlineStr">
        <is>
          <t>phase_rotation_sense_test.py</t>
        </is>
      </c>
      <c r="B7" t="inlineStr">
        <is>
          <t>VRD-2024</t>
        </is>
      </c>
      <c r="C7" t="inlineStr">
        <is>
          <t>Phase winding per shuttle Q2-Q3 and Q3-Q4, rotation sense, round-trip phase</t>
        </is>
      </c>
      <c r="D7" t="inlineStr">
        <is>
          <t>Companion 5.4.2</t>
        </is>
      </c>
      <c r="E7" t="inlineStr">
        <is>
          <t>Q3-Q4: −0.238 rad/shuttle; Q2-Q3: +1.61; ratio 6.7×</t>
        </is>
      </c>
      <c r="F7" t="inlineStr">
        <is>
          <t>COMPLETE</t>
        </is>
      </c>
      <c r="G7" t="inlineStr">
        <is>
          <t>Data_NatCom_Final/</t>
        </is>
      </c>
    </row>
    <row r="8">
      <c r="A8" s="5" t="inlineStr">
        <is>
          <t>pairwise_cos_theta_analysis.py</t>
        </is>
      </c>
      <c r="B8" t="inlineStr">
        <is>
          <t>VRD-2024</t>
        </is>
      </c>
      <c r="C8" t="inlineStr">
        <is>
          <t>cos(θ)=g_ratio identity test for Q3-Q4 and Q2-Q3 pairs</t>
        </is>
      </c>
      <c r="D8" t="inlineStr">
        <is>
          <t>Companion 5.4</t>
        </is>
      </c>
      <c r="E8" t="inlineStr">
        <is>
          <t>Q3-Q4: 0.8% deviation; Q2-Q3: 21.5%</t>
        </is>
      </c>
      <c r="F8" t="inlineStr">
        <is>
          <t>COMPLETE</t>
        </is>
      </c>
      <c r="G8" t="inlineStr">
        <is>
          <t>Data_NatCom_Final/</t>
        </is>
      </c>
    </row>
    <row r="9">
      <c r="A9" s="4" t="inlineStr">
        <is>
          <t>noise_spectrum_analysis.py</t>
        </is>
      </c>
      <c r="B9" t="inlineStr">
        <is>
          <t>VRD-2024</t>
        </is>
      </c>
      <c r="C9" t="inlineStr">
        <is>
          <t>β variation across geometries, Corner anomaly, noise CV</t>
        </is>
      </c>
      <c r="D9" t="inlineStr">
        <is>
          <t>Companion 5.2</t>
        </is>
      </c>
      <c r="E9" t="inlineStr">
        <is>
          <t>44% CV in β, Corner CPMG/Hahn ratio 0.74</t>
        </is>
      </c>
      <c r="F9" t="inlineStr">
        <is>
          <t>COMPLETE</t>
        </is>
      </c>
      <c r="G9" t="inlineStr">
        <is>
          <t>Data_NatCom_Final/</t>
        </is>
      </c>
    </row>
    <row r="10">
      <c r="A10" s="5" t="inlineStr">
        <is>
          <t>berry_phase_analysis.py</t>
        </is>
      </c>
      <c r="B10" t="inlineStr">
        <is>
          <t>VRD-2024</t>
        </is>
      </c>
      <c r="C10" t="inlineStr">
        <is>
          <t>Berry phase extraction, Lomb-Scargle periodogram, phase noise</t>
        </is>
      </c>
      <c r="D10" t="inlineStr">
        <is>
          <t>Companion 5.3</t>
        </is>
      </c>
      <c r="E10" t="inlineStr">
        <is>
          <t>Measured 0.141 rad vs predicted 5.63 rad</t>
        </is>
      </c>
      <c r="F10" t="inlineStr">
        <is>
          <t>COMPLETE</t>
        </is>
      </c>
      <c r="G10" t="inlineStr">
        <is>
          <t>Data_NatCom_Final/</t>
        </is>
      </c>
    </row>
    <row r="11">
      <c r="A11" s="4" t="inlineStr">
        <is>
          <t>zhang_pairwise_cos_theta.py</t>
        </is>
      </c>
      <c r="B11" t="inlineStr">
        <is>
          <t>ZHANG-2024</t>
        </is>
      </c>
      <c r="C11" t="inlineStr">
        <is>
          <t>Full pairwise cos(θ) test across all 6 adjacent pairs in 2×4 array</t>
        </is>
      </c>
      <c r="D11" t="inlineStr">
        <is>
          <t>Companion 5.4.1</t>
        </is>
      </c>
      <c r="E11" t="inlineStr">
        <is>
          <t>All 6 pairs frustrated 12–159% — wrong experiment type</t>
        </is>
      </c>
      <c r="F11" t="inlineStr">
        <is>
          <t>COMPLETE</t>
        </is>
      </c>
      <c r="G11" t="inlineStr">
        <is>
          <t>Zhang_2024/</t>
        </is>
      </c>
    </row>
    <row r="12">
      <c r="A12" s="5" t="inlineStr">
        <is>
          <t>tsoukalas_alpha_uncertainty.py</t>
        </is>
      </c>
      <c r="B12" t="inlineStr">
        <is>
          <t>TSOUKALAS-2026</t>
        </is>
      </c>
      <c r="C12" t="inlineStr">
        <is>
          <t>KWW fit, α uncertainty, fixed-α comparisons, MBL exclusion</t>
        </is>
      </c>
      <c r="D12" t="inlineStr">
        <is>
          <t>Companion 3.3</t>
        </is>
      </c>
      <c r="E12" t="inlineStr">
        <is>
          <t>α=1.442±0.306, MBL p=0.011, 4/3 p=0.72</t>
        </is>
      </c>
      <c r="F12" t="inlineStr">
        <is>
          <t>COMPLETE</t>
        </is>
      </c>
      <c r="G12" t="inlineStr">
        <is>
          <t>Tsoukalas_2026/</t>
        </is>
      </c>
    </row>
    <row r="13">
      <c r="A13" s="4" t="inlineStr">
        <is>
          <t>disorder_sweep.py</t>
        </is>
      </c>
      <c r="B13" t="inlineStr">
        <is>
          <t>XIANG-2024</t>
        </is>
      </c>
      <c r="C13" t="inlineStr">
        <is>
          <t>α vs disorder, DTC order parameter, Pearson r, disorder profile</t>
        </is>
      </c>
      <c r="D13" t="inlineStr">
        <is>
          <t>Paper 2, 6.4</t>
        </is>
      </c>
      <c r="E13" t="inlineStr">
        <is>
          <t>r=0.915 (17 pts), p&lt;10⁻⁶, jackknife min 0.901; α peaks W=0.1 then falls to 0.32 at W=3.0</t>
        </is>
      </c>
      <c r="F13" t="inlineStr">
        <is>
          <t>COMPLETE</t>
        </is>
      </c>
      <c r="G13" t="inlineStr">
        <is>
          <t>Xiang_2024/</t>
        </is>
      </c>
    </row>
    <row r="14">
      <c r="A14" s="5" t="inlineStr">
        <is>
          <t>two_time_correlation_test.py</t>
        </is>
      </c>
      <c r="B14" t="inlineStr">
        <is>
          <t>XIANG-2024 + MI-2022</t>
        </is>
      </c>
      <c r="C14" t="inlineStr">
        <is>
          <t>Cross-qubit decay rate correlations, conditional ratios, spatial decay, Mi control</t>
        </is>
      </c>
      <c r="D14" t="inlineStr">
        <is>
          <t>Paper 2, 6.1</t>
        </is>
      </c>
      <c r="E14" t="inlineStr">
        <is>
          <t>ξ=3.0, ratio up to 3.11, Mi C=−0.014</t>
        </is>
      </c>
      <c r="F14" t="inlineStr">
        <is>
          <t>COMPLETE</t>
        </is>
      </c>
      <c r="G14" t="inlineStr">
        <is>
          <t>Xiang_2024/</t>
        </is>
      </c>
    </row>
    <row r="15">
      <c r="A15" s="4" t="inlineStr">
        <is>
          <t>short_time_scaling_test.py</t>
        </is>
      </c>
      <c r="B15" t="inlineStr">
        <is>
          <t>XIANG-2024 + MI-2022</t>
        </is>
      </c>
      <c r="C15" t="inlineStr">
        <is>
          <t>Windowed KWW exponent, short-time γ, crossover n*, Mi control</t>
        </is>
      </c>
      <c r="D15" t="inlineStr">
        <is>
          <t>Paper 2, 6.1</t>
        </is>
      </c>
      <c r="E15" t="inlineStr">
        <is>
          <t>γ≈1.0, n*≈12, α increases with window</t>
        </is>
      </c>
      <c r="F15" t="inlineStr">
        <is>
          <t>COMPLETE</t>
        </is>
      </c>
      <c r="G15" t="inlineStr">
        <is>
          <t>C:/Users/selin/5570676/</t>
        </is>
      </c>
    </row>
    <row r="16">
      <c r="A16" s="5" t="inlineStr">
        <is>
          <t>stroboscopic_doubling_test.py</t>
        </is>
      </c>
      <c r="B16" t="inlineStr">
        <is>
          <t>Synthetic</t>
        </is>
      </c>
      <c r="C16" t="inlineStr">
        <is>
          <t>6 tests of β→2β under stroboscopic sampling, Bernstein ceiling, Palmer-Stein hierarchy</t>
        </is>
      </c>
      <c r="D16" t="inlineStr">
        <is>
          <t>Paper 2, 6.1</t>
        </is>
      </c>
      <c r="E16" t="inlineStr">
        <is>
          <t>No doubling under any scenario; α ceiling = 1 (Bernstein)</t>
        </is>
      </c>
      <c r="F16" t="inlineStr">
        <is>
          <t>COMPLETE</t>
        </is>
      </c>
      <c r="G16" t="inlineStr">
        <is>
          <t>Companion/</t>
        </is>
      </c>
    </row>
    <row r="17">
      <c r="A17" s="4" t="inlineStr">
        <is>
          <t>r2_monte_carlo.py</t>
        </is>
      </c>
      <c r="B17" t="inlineStr">
        <is>
          <t>Synthetic</t>
        </is>
      </c>
      <c r="C17" t="inlineStr">
        <is>
          <t>Monte Carlo p-value for R²=0.995 from 3 points</t>
        </is>
      </c>
      <c r="D17" t="inlineStr">
        <is>
          <t>Companion 3.1</t>
        </is>
      </c>
      <c r="E17" t="inlineStr">
        <is>
          <t>p≈0.042 (6.18% by chance)</t>
        </is>
      </c>
      <c r="F17" t="inlineStr">
        <is>
          <t>COMPLETE</t>
        </is>
      </c>
      <c r="G17" t="inlineStr">
        <is>
          <t>Data_NatCom_Final/</t>
        </is>
      </c>
    </row>
    <row r="18">
      <c r="A18" s="5" t="inlineStr">
        <is>
          <t>jadot_fig4c_analysis.py</t>
        </is>
      </c>
      <c r="B18" t="inlineStr">
        <is>
          <t>JADOT-2021</t>
        </is>
      </c>
      <c r="C18" t="inlineStr">
        <is>
          <t>2D interference oscillations, phase winding, singlet survival, Merkabit comparison</t>
        </is>
      </c>
      <c r="D18" t="inlineStr">
        <is>
          <t>Companion 7.5</t>
        </is>
      </c>
      <c r="E18" t="inlineStr">
        <is>
          <t>Net diff phase ≈ 0, survival 0.529±0.013, passive mechanism</t>
        </is>
      </c>
      <c r="F18" t="inlineStr">
        <is>
          <t>COMPLETE</t>
        </is>
      </c>
      <c r="G18" t="inlineStr">
        <is>
          <t>Desktop/4115984/</t>
        </is>
      </c>
    </row>
    <row r="19">
      <c r="A19" s="4" t="inlineStr">
        <is>
          <t>anisotropic_exchange_analysis.py</t>
        </is>
      </c>
      <c r="B19" t="inlineStr">
        <is>
          <t>GEYER-2024</t>
        </is>
      </c>
      <c r="C19" t="inlineStr">
        <is>
          <t>J(θ) fits across 5 planes, g-tensor orientation, co/counter-rotation verdict</t>
        </is>
      </c>
      <c r="D19" t="inlineStr">
        <is>
          <t>Companion 7.5</t>
        </is>
      </c>
      <c r="E19" t="inlineStr">
        <is>
          <t>Co-rotation geometry, anisotropy 40–250% from SOI not g-tensor</t>
        </is>
      </c>
      <c r="F19" t="inlineStr">
        <is>
          <t>COMPLETE</t>
        </is>
      </c>
      <c r="G19" t="inlineStr">
        <is>
          <t>Desktop/7547764/</t>
        </is>
      </c>
    </row>
    <row r="20"/>
    <row r="21">
      <c r="A21" s="7" t="n"/>
    </row>
    <row r="22">
      <c r="A22" s="7" t="inlineStr">
        <is>
          <t>tesseract_zero_point_investigation.py</t>
        </is>
      </c>
      <c r="B22" t="inlineStr">
        <is>
          <t>Synthetic</t>
        </is>
      </c>
      <c r="C22" t="inlineStr">
        <is>
          <t>24-cell construction, spectral gaps all regular 4-polytopes, 600-cell falsification, dual ouroboros Berry phase, 24=2×12 proof, forcing chain</t>
        </is>
      </c>
      <c r="D22" t="inlineStr">
        <is>
          <t>Both / Derivation</t>
        </is>
      </c>
      <c r="E22" t="inlineStr">
        <is>
          <t>gap/bw=1/3 (24-cell only); γ_dual=0; 24=2×12 structural; 0 free params</t>
        </is>
      </c>
      <c r="F22" t="inlineStr">
        <is>
          <t>COMPLETE</t>
        </is>
      </c>
      <c r="G22" t="inlineStr">
        <is>
          <t>C:/Users/selin/merkabit_results/tesseract/</t>
        </is>
      </c>
    </row>
    <row r="23"/>
    <row r="24"/>
    <row r="25">
      <c r="A25" s="11" t="inlineStr">
        <is>
          <t>sim13_closure_scale.py</t>
        </is>
      </c>
      <c r="B25" t="inlineStr">
        <is>
          <t>Synthetic</t>
        </is>
      </c>
      <c r="C25" t="inlineStr">
        <is>
          <t>Ouroboros closure scale: γ(J), Coxeter eigenvalues, m_P·J^h → v_tree; v_phys via D₄ correction 28/29</t>
        </is>
      </c>
      <c r="D25" t="inlineStr">
        <is>
          <t>Paper 23, §4</t>
        </is>
      </c>
      <c r="E25" t="inlineStr">
        <is>
          <t>v_tree = 255.3 GeV (0.12%); v_phys = 246.5 GeV (0.12%); hierarchy ratio 2.12×10⁻¹⁷</t>
        </is>
      </c>
      <c r="F25" t="inlineStr">
        <is>
          <t>COMPLETE</t>
        </is>
      </c>
      <c r="G25" t="inlineStr">
        <is>
          <t>paper_23_hierarchy/</t>
        </is>
      </c>
    </row>
    <row r="26">
      <c r="A26" s="11" t="inlineStr">
        <is>
          <t>G_unit_conversion.py</t>
        </is>
      </c>
      <c r="B26" t="inlineStr">
        <is>
          <t>Synthetic</t>
        </is>
      </c>
      <c r="C26" t="inlineStr">
        <is>
          <t>G_eff = 0.2542 → G_SI = G_Newton via lattice spacing 2ℓ_P; algebraic identity verification</t>
        </is>
      </c>
      <c r="D26" t="inlineStr">
        <is>
          <t>Paper 23, §3</t>
        </is>
      </c>
      <c r="E26" t="inlineStr">
        <is>
          <t>G_SI = G_Newton exact; a_L = 2ℓ_P; τ_L = 2t_P</t>
        </is>
      </c>
      <c r="F26" t="inlineStr">
        <is>
          <t>COMPLETE</t>
        </is>
      </c>
      <c r="G26" t="inlineStr">
        <is>
          <t>paper_23_hierarchy/</t>
        </is>
      </c>
    </row>
    <row r="27">
      <c r="A27" s="11" t="inlineStr">
        <is>
          <t>tesseract_zero_point.py</t>
        </is>
      </c>
      <c r="B27" t="inlineStr">
        <is>
          <t>Synthetic</t>
        </is>
      </c>
      <c r="C27" t="inlineStr">
        <is>
          <t>4-spinor coherence on tesseract; zero-point state investigation</t>
        </is>
      </c>
      <c r="D27" t="inlineStr">
        <is>
          <t>Paper 23, §3</t>
        </is>
      </c>
      <c r="E27" t="inlineStr">
        <is>
          <t>Supports bipartite node structure</t>
        </is>
      </c>
      <c r="F27" t="inlineStr">
        <is>
          <t>COMPLETE</t>
        </is>
      </c>
      <c r="G27" t="inlineStr">
        <is>
          <t>paper_23_hierarchy/</t>
        </is>
      </c>
    </row>
    <row r="28">
      <c r="A28" s="11" t="inlineStr">
        <is>
          <t>twentyfour_cell.py</t>
        </is>
      </c>
      <c r="B28" t="inlineStr">
        <is>
          <t>Synthetic</t>
        </is>
      </c>
      <c r="C28" t="inlineStr">
        <is>
          <t>24-cell gap/bandwidth = 1/3 uniqueness; supports Z₃→Z₂ coupling derivation</t>
        </is>
      </c>
      <c r="D28" t="inlineStr">
        <is>
          <t>Paper 23, §2</t>
        </is>
      </c>
      <c r="E28" t="inlineStr">
        <is>
          <t>gap/bw = 1/3 unique to 24-cell (cross-ref GF-05)</t>
        </is>
      </c>
      <c r="F28" t="inlineStr">
        <is>
          <t>COMPLETE</t>
        </is>
      </c>
      <c r="G28" t="inlineStr">
        <is>
          <t>paper_23_hierarchy/</t>
        </is>
      </c>
    </row>
    <row r="29"/>
    <row r="30">
      <c r="A30" s="15" t="inlineStr">
        <is>
          <t>ibm_heron_paper15_tests.py</t>
        </is>
      </c>
      <c r="B30" t="inlineStr">
        <is>
          <t>IBM DAQEC</t>
        </is>
      </c>
      <c r="C30" t="inlineStr">
        <is>
          <t>Fano factor analysis, burst scaling, spatial correlations, DFA</t>
        </is>
      </c>
      <c r="D30" t="inlineStr">
        <is>
          <t>Paper 3</t>
        </is>
      </c>
      <c r="E30" t="inlineStr">
        <is>
          <t>F=0.856, anti-bunching, T1 H~0.15, T2 H~1.0</t>
        </is>
      </c>
      <c r="F30" t="inlineStr">
        <is>
          <t>COMPLETE</t>
        </is>
      </c>
      <c r="G30" t="inlineStr">
        <is>
          <t>merkabit_hardware_test/</t>
        </is>
      </c>
    </row>
    <row r="31">
      <c r="A31" s="15" t="inlineStr">
        <is>
          <t>ouroboros_circuit.py</t>
        </is>
      </c>
      <c r="B31" t="inlineStr">
        <is>
          <t>ibm_strasbourg (hw)</t>
        </is>
      </c>
      <c r="C31" t="inlineStr">
        <is>
          <t>Z2 symmetry error, Ramsey Berry phase, stroboscopic quasi-period, Fano</t>
        </is>
      </c>
      <c r="D31" t="inlineStr">
        <is>
          <t>Paper 3, §4</t>
        </is>
      </c>
      <c r="E31" t="inlineStr">
        <is>
          <t>Z2 err=0.0163, F(τ=5)=0.506, Ramsey 96% fid</t>
        </is>
      </c>
      <c r="F31" t="inlineStr">
        <is>
          <t>COMPLETE</t>
        </is>
      </c>
      <c r="G31" t="inlineStr">
        <is>
          <t>merkabit_hardware_test/experiments/</t>
        </is>
      </c>
    </row>
    <row r="32">
      <c r="A32" s="15" t="inlineStr">
        <is>
          <t>yang_mills_glueball_spectrum.py</t>
        </is>
      </c>
      <c r="B32" t="inlineStr">
        <is>
          <t>Synthetic</t>
        </is>
      </c>
      <c r="C32" t="inlineStr">
        <is>
          <t>Glueball mass ratios from v/h²</t>
        </is>
      </c>
      <c r="D32" t="inlineStr">
        <is>
          <t>Paper 9, §3</t>
        </is>
      </c>
      <c r="E32" t="inlineStr">
        <is>
          <t>0++=1.7099 GeV, ratios ~√2, 3/2, √3</t>
        </is>
      </c>
      <c r="F32" t="inlineStr">
        <is>
          <t>COMPLETE</t>
        </is>
      </c>
      <c r="G32" t="inlineStr">
        <is>
          <t>yang_mills_Merkabit/</t>
        </is>
      </c>
    </row>
    <row r="33">
      <c r="A33" s="15" t="inlineStr">
        <is>
          <t>yang_mills_mass_gap.py</t>
        </is>
      </c>
      <c r="B33" t="inlineStr">
        <is>
          <t>Synthetic</t>
        </is>
      </c>
      <c r="C33" t="inlineStr">
        <is>
          <t>Mass gap, associator, spectral scaling</t>
        </is>
      </c>
      <c r="D33" t="inlineStr">
        <is>
          <t>Paper 9, §4</t>
        </is>
      </c>
      <c r="E33" t="inlineStr">
        <is>
          <t>672=4×168, slope=-1.03, refl. positivity</t>
        </is>
      </c>
      <c r="F33" t="inlineStr">
        <is>
          <t>COMPLETE</t>
        </is>
      </c>
      <c r="G33" t="inlineStr">
        <is>
          <t>yang_mills_Merkabit/</t>
        </is>
      </c>
    </row>
    <row r="34">
      <c r="A34" s="15" t="inlineStr">
        <is>
          <t>verify_paper11.py</t>
        </is>
      </c>
      <c r="B34" t="inlineStr">
        <is>
          <t>Synthetic</t>
        </is>
      </c>
      <c r="C34" t="inlineStr">
        <is>
          <t>PSL(2,7) strata, Eisenstein norm, Fano core</t>
        </is>
      </c>
      <c r="D34" t="inlineStr">
        <is>
          <t>Paper 11</t>
        </is>
      </c>
      <c r="E34" t="inlineStr">
        <is>
          <t>31+62+75=168, 137=62+75, |core|=12=h</t>
        </is>
      </c>
      <c r="F34" t="inlineStr">
        <is>
          <t>COMPLETE</t>
        </is>
      </c>
      <c r="G34" t="inlineStr">
        <is>
          <t>standard_model_merkabit/</t>
        </is>
      </c>
    </row>
    <row r="35">
      <c r="A35" s="15" t="inlineStr">
        <is>
          <t>paper12_verification.py</t>
        </is>
      </c>
      <c r="B35" t="inlineStr">
        <is>
          <t>Synthetic</t>
        </is>
      </c>
      <c r="C35" t="inlineStr">
        <is>
          <t>m_W/v ratio, 47 decomposition, Weinberg 26</t>
        </is>
      </c>
      <c r="D35" t="inlineStr">
        <is>
          <t>Paper 12</t>
        </is>
      </c>
      <c r="E35" t="inlineStr">
        <is>
          <t>47/144=0.32644, 0.017% match</t>
        </is>
      </c>
      <c r="F35" t="inlineStr">
        <is>
          <t>COMPLETE</t>
        </is>
      </c>
      <c r="G35" t="inlineStr">
        <is>
          <t>w_boson_as_alegbraic_inversion/</t>
        </is>
      </c>
    </row>
    <row r="36">
      <c r="A36" s="15" t="inlineStr">
        <is>
          <t>alpha_s_verification.py</t>
        </is>
      </c>
      <c r="B36" t="inlineStr">
        <is>
          <t>Synthetic</t>
        </is>
      </c>
      <c r="C36" t="inlineStr">
        <is>
          <t>Strong coupling constant from Fano plane</t>
        </is>
      </c>
      <c r="D36" t="inlineStr">
        <is>
          <t>Paper 14</t>
        </is>
      </c>
      <c r="E36" t="inlineStr">
        <is>
          <t>α_s=5/42=0.119048, sub-lead 0.117979</t>
        </is>
      </c>
      <c r="F36" t="inlineStr">
        <is>
          <t>COMPLETE</t>
        </is>
      </c>
      <c r="G36" t="inlineStr">
        <is>
          <t>Matter_is_fano/</t>
        </is>
      </c>
    </row>
    <row r="37">
      <c r="A37" s="15" t="inlineStr">
        <is>
          <t>scale_separation_sweep.py</t>
        </is>
      </c>
      <c r="B37" t="inlineStr">
        <is>
          <t>Synthetic</t>
        </is>
      </c>
      <c r="C37" t="inlineStr">
        <is>
          <t>Rotation gap flatness across error rates</t>
        </is>
      </c>
      <c r="D37" t="inlineStr">
        <is>
          <t>Paper 15</t>
        </is>
      </c>
      <c r="E37" t="inlineStr">
        <is>
          <t>24.0/15.5/13.3 pp, CV&lt;3%</t>
        </is>
      </c>
      <c r="F37" t="inlineStr">
        <is>
          <t>COMPLETE</t>
        </is>
      </c>
      <c r="G37" t="inlineStr">
        <is>
          <t>rotation_gap_is_flat/</t>
        </is>
      </c>
    </row>
    <row r="38">
      <c r="A38" s="15" t="inlineStr">
        <is>
          <t>yang_mills_gap_convergence.py</t>
        </is>
      </c>
      <c r="B38" t="inlineStr">
        <is>
          <t>Synthetic</t>
        </is>
      </c>
      <c r="C38" t="inlineStr">
        <is>
          <t>Mass gap Δ=1/24, convergence, L_resonance</t>
        </is>
      </c>
      <c r="D38" t="inlineStr">
        <is>
          <t>Paper 16</t>
        </is>
      </c>
      <c r="E38" t="inlineStr">
        <is>
          <t>Δ=1/24, C→2π²/3, L_res=12.43</t>
        </is>
      </c>
      <c r="F38" t="inlineStr">
        <is>
          <t>COMPLETE</t>
        </is>
      </c>
      <c r="G38" t="inlineStr">
        <is>
          <t>Yang-Mills_Spectral-Resonance/</t>
        </is>
      </c>
    </row>
    <row r="39">
      <c r="A39" s="15" t="inlineStr">
        <is>
          <t>paper17_weak_fusion_simulation.py</t>
        </is>
      </c>
      <c r="B39" t="inlineStr">
        <is>
          <t>Synthetic+Exp</t>
        </is>
      </c>
      <c r="C39" t="inlineStr">
        <is>
          <t>Pedestal ratio, ELM floor, g_W</t>
        </is>
      </c>
      <c r="D39" t="inlineStr">
        <is>
          <t>Papers 17-19</t>
        </is>
      </c>
      <c r="E39" t="inlineStr">
        <is>
          <t>p_e ratio=3, 1/72 floor, g_W=0.630</t>
        </is>
      </c>
      <c r="F39" t="inlineStr">
        <is>
          <t>COMPLETE</t>
        </is>
      </c>
      <c r="G39" t="inlineStr">
        <is>
          <t>plasma_is_the_weak_force/</t>
        </is>
      </c>
    </row>
    <row r="40">
      <c r="A40" s="15" t="inlineStr">
        <is>
          <t>sim10_monopole.py</t>
        </is>
      </c>
      <c r="B40" t="inlineStr">
        <is>
          <t>Synthetic</t>
        </is>
      </c>
      <c r="C40" t="inlineStr">
        <is>
          <t>Cosmological constant from E₆ architecture</t>
        </is>
      </c>
      <c r="D40" t="inlineStr">
        <is>
          <t>Paper 20</t>
        </is>
      </c>
      <c r="E40" t="inlineStr">
        <is>
          <t>Λ=2.876e-122, 0.2% match</t>
        </is>
      </c>
      <c r="F40" t="inlineStr">
        <is>
          <t>COMPLETE</t>
        </is>
      </c>
      <c r="G40" t="inlineStr">
        <is>
          <t>Merkabit_architecture_gravity.../</t>
        </is>
      </c>
    </row>
    <row r="41">
      <c r="A41" s="15" t="inlineStr">
        <is>
          <t>kww_entropy_analysis.py</t>
        </is>
      </c>
      <c r="B41" t="inlineStr">
        <is>
          <t>Synthetic</t>
        </is>
      </c>
      <c r="C41" t="inlineStr">
        <is>
          <t>Entanglement entropy = 4/3 at CZ gate</t>
        </is>
      </c>
      <c r="D41" t="inlineStr">
        <is>
          <t>Both</t>
        </is>
      </c>
      <c r="E41" t="inlineStr">
        <is>
          <t>4/3 exact (algebraic)</t>
        </is>
      </c>
      <c r="F41" t="inlineStr">
        <is>
          <t>COMPLETE</t>
        </is>
      </c>
      <c r="G41" t="inlineStr">
        <is>
          <t>entanglement_4-3/</t>
        </is>
      </c>
    </row>
    <row r="42"/>
    <row r="43">
      <c r="A43" s="11" t="inlineStr">
        <is>
          <t>mechanical_genesis_verification.py</t>
        </is>
      </c>
      <c r="B43" t="inlineStr">
        <is>
          <t>Synthetic</t>
        </is>
      </c>
      <c r="C43" t="inlineStr">
        <is>
          <t>5-step geometric closure derivation of gate-set {R,T,S,F,P}: triangle → tetrahedron → counter-tet → dual-tet (P emerges) → toroidal coupling (F emerges)</t>
        </is>
      </c>
      <c r="D43" t="inlineStr">
        <is>
          <t>Paper 35</t>
        </is>
      </c>
      <c r="E43" t="inlineStr">
        <is>
          <t>5/5 steps PASS; runtime 0.08 s</t>
        </is>
      </c>
      <c r="F43" t="inlineStr">
        <is>
          <t>COMPLETE</t>
        </is>
      </c>
      <c r="G43" t="inlineStr">
        <is>
          <t>Science papers/Paper 30-33/</t>
        </is>
      </c>
    </row>
    <row r="44">
      <c r="A44" s="11" t="inlineStr">
        <is>
          <t>test_7prime_F_gate_ablation.py</t>
        </is>
      </c>
      <c r="B44" t="inlineStr">
        <is>
          <t>Synthetic</t>
        </is>
      </c>
      <c r="C44" t="inlineStr">
        <is>
          <t>F-gate isolation on binary triangle: divisor-60 purity, mean entropy, FFT dominant period; matter (R,T,S) vs matter+F (R,T,S,F)</t>
        </is>
      </c>
      <c r="D44" t="inlineStr">
        <is>
          <t>Paper 36 — F-gate</t>
        </is>
      </c>
      <c r="E44" t="inlineStr">
        <is>
          <t>matter purity 0.806; mean entropy 1.452; period 60.0</t>
        </is>
      </c>
      <c r="F44" t="inlineStr">
        <is>
          <t>COMPLETE</t>
        </is>
      </c>
      <c r="G44" t="inlineStr">
        <is>
          <t>Science papers/Paper 30-33/</t>
        </is>
      </c>
    </row>
    <row r="45">
      <c r="A45" s="11" t="inlineStr">
        <is>
          <t>test_7prime_z62_orbit_trajectory.py</t>
        </is>
      </c>
      <c r="B45" t="inlineStr">
        <is>
          <t>Synthetic</t>
        </is>
      </c>
      <c r="C45" t="inlineStr">
        <is>
          <t>Z62 orbit-tagged trajectory: gate-by-gate Z3 chirality correlation; W26 vs N36 prediction (F drives W26, P drives N36)</t>
        </is>
      </c>
      <c r="D45" t="inlineStr">
        <is>
          <t>Paper 36 — Z62 orbit</t>
        </is>
      </c>
      <c r="E45" t="inlineStr">
        <is>
          <t>see JSON</t>
        </is>
      </c>
      <c r="F45" t="inlineStr">
        <is>
          <t>COMPLETE</t>
        </is>
      </c>
      <c r="G45" t="inlineStr">
        <is>
          <t>Science papers/Paper 30-33/</t>
        </is>
      </c>
    </row>
    <row r="46">
      <c r="A46" s="11" t="inlineStr">
        <is>
          <t>riemann_alignment_simulation.py</t>
        </is>
      </c>
      <c r="B46" t="inlineStr">
        <is>
          <t>Synthetic (Riemann cache)</t>
        </is>
      </c>
      <c r="C46" t="inlineStr">
        <is>
          <t>200-zero pilot: |ζ_β + ζ_γ| at first 200 Riemann zeros + π phase locking</t>
        </is>
      </c>
      <c r="D46" t="inlineStr">
        <is>
          <t>Paper 37 §4</t>
        </is>
      </c>
      <c r="E46" t="inlineStr">
        <is>
          <t>destructive identity confirmed</t>
        </is>
      </c>
      <c r="F46" t="inlineStr">
        <is>
          <t>COMPLETE</t>
        </is>
      </c>
      <c r="G46" t="inlineStr">
        <is>
          <t>Science papers/Riemanns Alignment/</t>
        </is>
      </c>
    </row>
    <row r="47">
      <c r="A47" s="11" t="inlineStr">
        <is>
          <t>riemann_alignment_full_100k.py</t>
        </is>
      </c>
      <c r="B47" t="inlineStr">
        <is>
          <t>Synthetic (Riemann cache)</t>
        </is>
      </c>
      <c r="C47" t="inlineStr">
        <is>
          <t>Overnight 100k extension: aborted at 35k after process crashes; clean 35K subset retained — destructive identity at first 35,000 zeros, mpmath 20-digit</t>
        </is>
      </c>
      <c r="D47" t="inlineStr">
        <is>
          <t>Paper 37 §4</t>
        </is>
      </c>
      <c r="E47" t="inlineStr">
        <is>
          <t>median |β+γ| = 1.70×10⁻⁹; max 7.44×10⁻⁸</t>
        </is>
      </c>
      <c r="F47" t="inlineStr">
        <is>
          <t>COMPLETE (35K subset)</t>
        </is>
      </c>
      <c r="G47" t="inlineStr">
        <is>
          <t>Science papers/Riemanns Alignment/</t>
        </is>
      </c>
    </row>
    <row r="48">
      <c r="A48" s="11" t="inlineStr">
        <is>
          <t>riemann_alignment_high_gamma_sample.py</t>
        </is>
      </c>
      <c r="B48" t="inlineStr">
        <is>
          <t>Synthetic (Riemann cache)</t>
        </is>
      </c>
      <c r="C48" t="inlineStr">
        <is>
          <t>Stratified 100-zero sample over γ ∈ [14, 74,921] in 4 bins of 25; mpmath 17-digit</t>
        </is>
      </c>
      <c r="D48" t="inlineStr">
        <is>
          <t>Paper 37 §4</t>
        </is>
      </c>
      <c r="E48" t="inlineStr">
        <is>
          <t>146 s runtime; high-γ identity confirmed</t>
        </is>
      </c>
      <c r="F48" t="inlineStr">
        <is>
          <t>COMPLETE</t>
        </is>
      </c>
      <c r="G48" t="inlineStr">
        <is>
          <t>Science papers/Riemanns Alignment/</t>
        </is>
      </c>
    </row>
    <row r="49">
      <c r="A49" s="11" t="inlineStr">
        <is>
          <t>combined_analysis.py</t>
        </is>
      </c>
      <c r="B49" t="inlineStr">
        <is>
          <t>Synthetic</t>
        </is>
      </c>
      <c r="C49" t="inlineStr">
        <is>
          <t>Combine 35K continuous + 100-zero high-γ sample → headline destructive-identity numbers and combined figure</t>
        </is>
      </c>
      <c r="D49" t="inlineStr">
        <is>
          <t>Paper 37 §4</t>
        </is>
      </c>
      <c r="E49" t="inlineStr">
        <is>
          <t>35,100 zeros total; median |β+γ| = 1.70×10⁻⁹; 100% under 10⁻⁷</t>
        </is>
      </c>
      <c r="F49" t="inlineStr">
        <is>
          <t>COMPLETE</t>
        </is>
      </c>
      <c r="G49" t="inlineStr">
        <is>
          <t>Science papers/Riemanns Alignment/</t>
        </is>
      </c>
    </row>
    <row r="50">
      <c r="A50" s="11" t="inlineStr">
        <is>
          <t>test_K_modulus.py</t>
        </is>
      </c>
      <c r="B50" t="inlineStr">
        <is>
          <t>Synthetic</t>
        </is>
      </c>
      <c r="C50" t="inlineStr">
        <is>
          <t>K-modulus theorem rigour: |K_L(s)| = 1 ⇔ Re(s) = 1/2 verified to 50-digit precision</t>
        </is>
      </c>
      <c r="D50" t="inlineStr">
        <is>
          <t>Paper 37 §5</t>
        </is>
      </c>
      <c r="E50" t="inlineStr">
        <is>
          <t>theorem confirmed; &lt; 10⁻⁵⁰</t>
        </is>
      </c>
      <c r="F50" t="inlineStr">
        <is>
          <t>COMPLETE</t>
        </is>
      </c>
      <c r="G50" t="inlineStr">
        <is>
          <t>Science papers/Riemanns Alignment/</t>
        </is>
      </c>
    </row>
    <row r="51">
      <c r="A51" s="11" t="inlineStr">
        <is>
          <t>paper37_event_timing_threshold.py</t>
        </is>
      </c>
      <c r="B51" t="inlineStr">
        <is>
          <t>Synthetic</t>
        </is>
      </c>
      <c r="C51" t="inlineStr">
        <is>
          <t>Event-timing CV interval: 4/3 threshold signature; predicted band [0.6, 0.8]</t>
        </is>
      </c>
      <c r="D51" t="inlineStr">
        <is>
          <t>Paper 37 §6.5</t>
        </is>
      </c>
      <c r="E51" t="inlineStr">
        <is>
          <t>within band confirmed</t>
        </is>
      </c>
      <c r="F51" t="inlineStr">
        <is>
          <t>COMPLETE</t>
        </is>
      </c>
      <c r="G51" t="inlineStr">
        <is>
          <t>Science papers/Riemanns Alignment/</t>
        </is>
      </c>
    </row>
    <row r="52">
      <c r="A52" s="11" t="inlineStr">
        <is>
          <t>thread_B_mixing_model_check.py</t>
        </is>
      </c>
      <c r="B52" t="inlineStr">
        <is>
          <t>IBM Heron</t>
        </is>
      </c>
      <c r="C52" t="inlineStr">
        <is>
          <t>Cooperative-event mixing-model: F_obs = f·F_GUE + (1−f); 756 runs / 18 strata</t>
        </is>
      </c>
      <c r="D52" t="inlineStr">
        <is>
          <t>Paper 37 §4.5</t>
        </is>
      </c>
      <c r="E52" t="inlineStr">
        <is>
          <t>mean Fano 0.855; 94% sub-strata sub-Poissonian; 0.9% deviation</t>
        </is>
      </c>
      <c r="F52" t="inlineStr">
        <is>
          <t>COMPLETE</t>
        </is>
      </c>
      <c r="G52" t="inlineStr">
        <is>
          <t>Science papers/Riemanns Alignment/</t>
        </is>
      </c>
    </row>
    <row r="53">
      <c r="A53" s="11" t="inlineStr">
        <is>
          <t>paper38_sigma_fixed_pivot_theorem.py</t>
        </is>
      </c>
      <c r="B53" t="inlineStr">
        <is>
          <t>Synthetic (Haar)</t>
        </is>
      </c>
      <c r="C53" t="inlineStr">
        <is>
          <t>σ-fixed-pivot theorem Monte-Carlo verifier: 10⁴ Haar-random σ-equivariant unitaries on U(14) × U(13) → U(27); chirality-imbalance bias for all 27 product configurations</t>
        </is>
      </c>
      <c r="D53" t="inlineStr">
        <is>
          <t>Paper 38 §7.5</t>
        </is>
      </c>
      <c r="E53" t="inlineStr">
        <is>
          <t>RRR bias 1.11×10⁻¹⁶ (machine prec); 26 non-σ-fixed bias ~5×10⁻²; separation 10¹⁵×</t>
        </is>
      </c>
      <c r="F53" t="inlineStr">
        <is>
          <t>COMPLETE</t>
        </is>
      </c>
      <c r="G53" t="inlineStr">
        <is>
          <t>Science papers/Riemanns Alignment/</t>
        </is>
      </c>
    </row>
    <row r="54">
      <c r="A54" s="11" t="inlineStr">
        <is>
          <t>paper38_combinatorial_enumeration.py</t>
        </is>
      </c>
      <c r="B54" t="inlineStr">
        <is>
          <t>Synthetic</t>
        </is>
      </c>
      <c r="C54" t="inlineStr">
        <is>
          <t>σ-orbit decomposition of 27 product configurations c_i ∈ {R,T,S}</t>
        </is>
      </c>
      <c r="D54" t="inlineStr">
        <is>
          <t>Paper 38 §4</t>
        </is>
      </c>
      <c r="E54" t="inlineStr">
        <is>
          <t>14 orbits = 1 σ-fixed + 13 σ-mirror pairs; (R,R,R) unique σ-fixed</t>
        </is>
      </c>
      <c r="F54" t="inlineStr">
        <is>
          <t>COMPLETE</t>
        </is>
      </c>
      <c r="G54" t="inlineStr">
        <is>
          <t>Science papers/Riemanns Alignment/</t>
        </is>
      </c>
    </row>
    <row r="55">
      <c r="A55" s="11" t="inlineStr">
        <is>
          <t>paper39_closure_counting_analysis.py</t>
        </is>
      </c>
      <c r="B55" t="inlineStr">
        <is>
          <t>Synthetic (2000 zeros)</t>
        </is>
      </c>
      <c r="C55" t="inlineStr">
        <is>
          <t>Empirical density vs d_arch = (1/2π) log(T/2π) over T ∈ [14, 2515]</t>
        </is>
      </c>
      <c r="D55" t="inlineStr">
        <is>
          <t>Paper 39 §closure-counting</t>
        </is>
      </c>
      <c r="E55" t="inlineStr">
        <is>
          <t>ratio ≈ 1.0 across bins</t>
        </is>
      </c>
      <c r="F55" t="inlineStr">
        <is>
          <t>COMPLETE</t>
        </is>
      </c>
      <c r="G55" t="inlineStr">
        <is>
          <t>Science papers/Paper 39/</t>
        </is>
      </c>
    </row>
    <row r="56">
      <c r="A56" s="11" t="inlineStr">
        <is>
          <t>paper39_S_T_v2_midpoint.py</t>
        </is>
      </c>
      <c r="B56" t="inlineStr">
        <is>
          <t>Synthetic</t>
        </is>
      </c>
      <c r="C56" t="inlineStr">
        <is>
          <t>S(T) midpoint correlation: empirical vs architectural construction; 1999 midpoints</t>
        </is>
      </c>
      <c r="D56" t="inlineStr">
        <is>
          <t>Paper 39 §S(T) test</t>
        </is>
      </c>
      <c r="E56" t="inlineStr">
        <is>
          <t>r = 0.974; var explained 94.4%; residual std 0.045</t>
        </is>
      </c>
      <c r="F56" t="inlineStr">
        <is>
          <t>COMPLETE</t>
        </is>
      </c>
      <c r="G56" t="inlineStr">
        <is>
          <t>Science papers/Paper 39/</t>
        </is>
      </c>
    </row>
    <row r="57">
      <c r="A57" s="11" t="inlineStr">
        <is>
          <t>paper39_fano_cycle_closures.py</t>
        </is>
      </c>
      <c r="B57" t="inlineStr">
        <is>
          <t>Synthetic</t>
        </is>
      </c>
      <c r="C57" t="inlineStr">
        <is>
          <t>Fano-cycle simulation: γ_n^arch = solutions of N_arch(T_n) = n − 0.5; 2000 predictions</t>
        </is>
      </c>
      <c r="D57" t="inlineStr">
        <is>
          <t>Paper 39 §Fano cycle</t>
        </is>
      </c>
      <c r="E57" t="inlineStr">
        <is>
          <t>median |Δγ| = 0.0092; 0 failures</t>
        </is>
      </c>
      <c r="F57" t="inlineStr">
        <is>
          <t>COMPLETE</t>
        </is>
      </c>
      <c r="G57" t="inlineStr">
        <is>
          <t>Science papers/Paper 39/</t>
        </is>
      </c>
    </row>
    <row r="58">
      <c r="A58" s="11" t="inlineStr">
        <is>
          <t>paper39_test_24cell_su3.py</t>
        </is>
      </c>
      <c r="B58" t="inlineStr">
        <is>
          <t>Synthetic</t>
        </is>
      </c>
      <c r="C58" t="inlineStr">
        <is>
          <t>24-cell Laplacian spectrum (level 1) and SU(3) identification on V8 eigenspace</t>
        </is>
      </c>
      <c r="D58" t="inlineStr">
        <is>
          <t>Paper 39 §17 item 1</t>
        </is>
      </c>
      <c r="E58" t="inlineStr">
        <is>
          <t>spectrum {8,4,0,−2,−4} with mults {1,4,9,8,2}; gap/bw = 1/3</t>
        </is>
      </c>
      <c r="F58" t="inlineStr">
        <is>
          <t>COMPLETE</t>
        </is>
      </c>
      <c r="G58" t="inlineStr">
        <is>
          <t>Science papers/Paper 39/</t>
        </is>
      </c>
    </row>
    <row r="59">
      <c r="A59" s="11" t="inlineStr">
        <is>
          <t>paper39_test_24cell_su3_dynamics.py</t>
        </is>
      </c>
      <c r="B59" t="inlineStr">
        <is>
          <t>Synthetic</t>
        </is>
      </c>
      <c r="C59" t="inlineStr">
        <is>
          <t>Dynamics on 24-cell V8 eigenspace under SU(3) generators</t>
        </is>
      </c>
      <c r="D59" t="inlineStr">
        <is>
          <t>Paper 39 §17 item 1</t>
        </is>
      </c>
      <c r="E59" t="inlineStr">
        <is>
          <t>see JSON</t>
        </is>
      </c>
      <c r="F59" t="inlineStr">
        <is>
          <t>COMPLETE</t>
        </is>
      </c>
      <c r="G59" t="inlineStr">
        <is>
          <t>Science papers/Paper 39/</t>
        </is>
      </c>
    </row>
    <row r="60">
      <c r="A60" s="11" t="inlineStr">
        <is>
          <t>paper39_identify_72_subgroup.py</t>
        </is>
      </c>
      <c r="B60" t="inlineStr">
        <is>
          <t>Synthetic</t>
        </is>
      </c>
      <c r="C60" t="inlineStr">
        <is>
          <t>Identify 72-element subgroup of W(F4) preserving SU(3) on V8</t>
        </is>
      </c>
      <c r="D60" t="inlineStr">
        <is>
          <t>Paper 39 §72-subgroup</t>
        </is>
      </c>
      <c r="E60" t="inlineStr">
        <is>
          <t>order spectrum {1:1, 2:31, 3:8, 6:32}; ≠ P24 × Z3</t>
        </is>
      </c>
      <c r="F60" t="inlineStr">
        <is>
          <t>COMPLETE</t>
        </is>
      </c>
      <c r="G60" t="inlineStr">
        <is>
          <t>Science papers/Paper 39/</t>
        </is>
      </c>
    </row>
    <row r="61">
      <c r="A61" s="11" t="inlineStr">
        <is>
          <t>paper39_dynamical_simulation.py</t>
        </is>
      </c>
      <c r="B61" t="inlineStr">
        <is>
          <t>Synthetic</t>
        </is>
      </c>
      <c r="C61" t="inlineStr">
        <is>
          <t>30-prime ouroboros tick simulation: h_F=1.0, h_P=0.3, g=0.4, T_max=100, 50000 steps</t>
        </is>
      </c>
      <c r="D61" t="inlineStr">
        <is>
          <t>Paper 39 §dynamical sim</t>
        </is>
      </c>
      <c r="E61" t="inlineStr">
        <is>
          <t>see JSON / figs</t>
        </is>
      </c>
      <c r="F61" t="inlineStr">
        <is>
          <t>COMPLETE</t>
        </is>
      </c>
      <c r="G61" t="inlineStr">
        <is>
          <t>Science papers/Paper 39/</t>
        </is>
      </c>
    </row>
    <row r="62">
      <c r="A62" s="11" t="inlineStr">
        <is>
          <t>paper40_task1_multiplicity.py</t>
        </is>
      </c>
      <c r="B62" t="inlineStr">
        <is>
          <t>Synthetic</t>
        </is>
      </c>
      <c r="C62" t="inlineStr">
        <is>
          <t>PSL(2,7) multiplicity check for L²(X(7)) lift: order, classes, irrep dims, merkabit substrate decomposition</t>
        </is>
      </c>
      <c r="D62" t="inlineStr">
        <is>
          <t>Paper 40 Task 1</t>
        </is>
      </c>
      <c r="E62" t="inlineStr">
        <is>
          <t>168, [1,21,56,42,24,24], [1,3,3,6,7,8]</t>
        </is>
      </c>
      <c r="F62" t="inlineStr">
        <is>
          <t>COMPLETE</t>
        </is>
      </c>
      <c r="G62" t="inlineStr">
        <is>
          <t>Science papers/Paper_40_41_Riemanns Resolution/</t>
        </is>
      </c>
    </row>
    <row r="63">
      <c r="A63" s="11" t="inlineStr">
        <is>
          <t>paper40_task2_prime_correspondence.py</t>
        </is>
      </c>
      <c r="B63" t="inlineStr">
        <is>
          <t>Synthetic</t>
        </is>
      </c>
      <c r="C63" t="inlineStr">
        <is>
          <t>Prime correspondence in Z[ζ_7]^+: 168 primes &lt; 1000, splitting density, order distribution mod 7</t>
        </is>
      </c>
      <c r="D63" t="inlineStr">
        <is>
          <t>Paper 40 Task 2</t>
        </is>
      </c>
      <c r="E63" t="inlineStr">
        <is>
          <t>splitting density 0.482 vs 0.500; class number 1; Gal = Z/3</t>
        </is>
      </c>
      <c r="F63" t="inlineStr">
        <is>
          <t>COMPLETE</t>
        </is>
      </c>
      <c r="G63" t="inlineStr">
        <is>
          <t>Science papers/Paper_40_41_Riemanns Resolution/</t>
        </is>
      </c>
    </row>
    <row r="64">
      <c r="A64" s="11" t="inlineStr">
        <is>
          <t>paper40_task3_4_analytical.py</t>
        </is>
      </c>
      <c r="B64" t="inlineStr">
        <is>
          <t>Synthetic</t>
        </is>
      </c>
      <c r="C64" t="inlineStr">
        <is>
          <t>Tasks 3-4: Selberg Jacobian and Plancherel phase analytical checks</t>
        </is>
      </c>
      <c r="D64" t="inlineStr">
        <is>
          <t>Paper 40 Tasks 3-4</t>
        </is>
      </c>
      <c r="E64" t="inlineStr">
        <is>
          <t>see JSON</t>
        </is>
      </c>
      <c r="F64" t="inlineStr">
        <is>
          <t>COMPLETE</t>
        </is>
      </c>
      <c r="G64" t="inlineStr">
        <is>
          <t>Science papers/Paper_40_41_Riemanns Resolution/</t>
        </is>
      </c>
    </row>
    <row r="65">
      <c r="A65" s="11" t="inlineStr">
        <is>
          <t>riemann_zeros_from_euler_product.py</t>
        </is>
      </c>
      <c r="B65" t="inlineStr">
        <is>
          <t>Synthetic</t>
        </is>
      </c>
      <c r="C65" t="inlineStr">
        <is>
          <t>Reconstruct first 2000 Riemann zeros from truncated Euler product convergence; sweep over P_max</t>
        </is>
      </c>
      <c r="D65" t="inlineStr">
        <is>
          <t>Paper 40 §Euler product</t>
        </is>
      </c>
      <c r="E65" t="inlineStr">
        <is>
          <t>median |Δγ| &lt; 0.1 at P_max ≈ 100, 30 dps</t>
        </is>
      </c>
      <c r="F65" t="inlineStr">
        <is>
          <t>COMPLETE</t>
        </is>
      </c>
      <c r="G65" t="inlineStr">
        <is>
          <t>Science papers/Paper_40_41_Riemanns Resolution/</t>
        </is>
      </c>
    </row>
    <row r="66">
      <c r="A66" s="11" t="inlineStr">
        <is>
          <t>sim5_orbital_quantisation.py</t>
        </is>
      </c>
      <c r="B66" t="inlineStr">
        <is>
          <t>Synthetic</t>
        </is>
      </c>
      <c r="C66" t="inlineStr">
        <is>
          <t>Orbital quantisation lock test: Coxeter h=12 period, Berry phase γ₀=−0.862 rad, Kepler scaling p=1.38, lock stability contrast 2.59×</t>
        </is>
      </c>
      <c r="D66" t="inlineStr">
        <is>
          <t>Paper 21 §2.1-2.4</t>
        </is>
      </c>
      <c r="E66" t="inlineStr">
        <is>
          <t>h=12; Berry γ₀=−0.862 rad; Kepler p=1.38, R²=0.996</t>
        </is>
      </c>
      <c r="F66" t="inlineStr">
        <is>
          <t>COMPLETE (Paper 21 sim suite)</t>
        </is>
      </c>
      <c r="G66" t="inlineStr">
        <is>
          <t>Paper 21 (Zenodo)</t>
        </is>
      </c>
    </row>
    <row r="67">
      <c r="A67" s="11" t="inlineStr">
        <is>
          <t>sim10_monopole.py</t>
        </is>
      </c>
      <c r="B67" t="inlineStr">
        <is>
          <t>Synthetic</t>
        </is>
      </c>
      <c r="C67" t="inlineStr">
        <is>
          <t>Cosmological constant Λ from vacuum monopole suppression — Berry-phase simulation route</t>
        </is>
      </c>
      <c r="D67" t="inlineStr">
        <is>
          <t>Paper 22 §4 Fig 2</t>
        </is>
      </c>
      <c r="E67" t="inlineStr">
        <is>
          <t>Λ = 2.870 × 10⁻¹²² (within ~2% of observed)</t>
        </is>
      </c>
      <c r="F67" t="inlineStr">
        <is>
          <t>COMPLETE</t>
        </is>
      </c>
      <c r="G67" t="inlineStr">
        <is>
          <t>Paper 22 (Zenodo)</t>
        </is>
      </c>
    </row>
    <row r="68">
      <c r="A68" s="11" t="inlineStr">
        <is>
          <t>sim11_monopole.py</t>
        </is>
      </c>
      <c r="B68" t="inlineStr">
        <is>
          <t>Synthetic</t>
        </is>
      </c>
      <c r="C68" t="inlineStr">
        <is>
          <t>Cosmological constant Λ leading derived term — algebraic route</t>
        </is>
      </c>
      <c r="D68" t="inlineStr">
        <is>
          <t>Paper 22 §4 Abstract</t>
        </is>
      </c>
      <c r="E68" t="inlineStr">
        <is>
          <t>Λ = 2.876 × 10⁻¹²² (0.2% vs Planck 2018)</t>
        </is>
      </c>
      <c r="F68" t="inlineStr">
        <is>
          <t>COMPLETE</t>
        </is>
      </c>
      <c r="G68" t="inlineStr">
        <is>
          <t>Paper 22 (Zenodo)</t>
        </is>
      </c>
    </row>
    <row r="69">
      <c r="A69" s="11" t="inlineStr">
        <is>
          <t>ZPMB circuit family</t>
        </is>
      </c>
      <c r="B69" t="inlineStr">
        <is>
          <t>IBM Eagle r3</t>
        </is>
      </c>
      <c r="C69" t="inlineStr">
        <is>
          <t>Zero-Point Merkabit Boot circuits: ZP-ORF measurement, π-lock ⟨ZZ⟩, parity witness ⟨XX⟩</t>
        </is>
      </c>
      <c r="D69" t="inlineStr">
        <is>
          <t>Paper 24 §3.1-3.3</t>
        </is>
      </c>
      <c r="E69" t="inlineStr">
        <is>
          <t>ZP-ORF paired 0.9684 / unpaired 0.9670 (ratio 1.001); ⟨ZZ⟩=+0.44; ⟨XX⟩=−0.450</t>
        </is>
      </c>
      <c r="F69" t="inlineStr">
        <is>
          <t>COMPLETE — IBM Eagle r3 hardware</t>
        </is>
      </c>
      <c r="G69" t="inlineStr">
        <is>
          <t>Paper 24 (Zenodo)</t>
        </is>
      </c>
    </row>
    <row r="70">
      <c r="A70" s="11" t="inlineStr">
        <is>
          <t>Z₂ symmetry sweep (Paper 24)</t>
        </is>
      </c>
      <c r="B70" t="inlineStr">
        <is>
          <t>IBM Eagle r3</t>
        </is>
      </c>
      <c r="C70" t="inlineStr">
        <is>
          <t>Z₂ chirality error vs step count n</t>
        </is>
      </c>
      <c r="D70" t="inlineStr">
        <is>
          <t>Paper 24 §4.1 Tab 6</t>
        </is>
      </c>
      <c r="E70" t="inlineStr">
        <is>
          <t>n=4 error 0.0165; mean 0.0163 (pass &lt;0.03)</t>
        </is>
      </c>
      <c r="F70" t="inlineStr">
        <is>
          <t>COMPLETE — IBM Eagle r3</t>
        </is>
      </c>
      <c r="G70" t="inlineStr">
        <is>
          <t>Paper 24 (Zenodo)</t>
        </is>
      </c>
    </row>
    <row r="71">
      <c r="A71" s="11" t="inlineStr">
        <is>
          <t>GPW circuit family (Paper 24)</t>
        </is>
      </c>
      <c r="B71" t="inlineStr">
        <is>
          <t>IBM Eagle r3</t>
        </is>
      </c>
      <c r="C71" t="inlineStr">
        <is>
          <t>Geometric Phase Witness — phase offset per layer</t>
        </is>
      </c>
      <c r="D71" t="inlineStr">
        <is>
          <t>Paper 24 §3.4 Tab 5</t>
        </is>
      </c>
      <c r="E71" t="inlineStr">
        <is>
          <t>Δδ = 42.8° + 0.14°/layer</t>
        </is>
      </c>
      <c r="F71" t="inlineStr">
        <is>
          <t>COMPLETE — IBM Eagle r3</t>
        </is>
      </c>
      <c r="G71" t="inlineStr">
        <is>
          <t>Paper 24 (Zenodo)</t>
        </is>
      </c>
    </row>
    <row r="72">
      <c r="A72" s="11" t="inlineStr">
        <is>
          <t>P1 Ramsey circuit (Paper 25)</t>
        </is>
      </c>
      <c r="B72" t="inlineStr">
        <is>
          <t>IBM Eagle r3</t>
        </is>
      </c>
      <c r="C72" t="inlineStr">
        <is>
          <t>Berry-phase Ramsey scan over n=4..12 — 4096-shot fidelity to ideal trajectory</t>
        </is>
      </c>
      <c r="D72" t="inlineStr">
        <is>
          <t>Paper 25 §2.1</t>
        </is>
      </c>
      <c r="E72" t="inlineStr">
        <is>
          <t>n=4: 99.8%; n=10 peak 96.4%; n=12: +0.194 vs ideal +0.156</t>
        </is>
      </c>
      <c r="F72" t="inlineStr">
        <is>
          <t>COMPLETE — IBM Eagle r3</t>
        </is>
      </c>
      <c r="G72" t="inlineStr">
        <is>
          <t>Paper 25 (Zenodo)</t>
        </is>
      </c>
    </row>
    <row r="73">
      <c r="A73" s="11" t="inlineStr">
        <is>
          <t>P2 stroboscopic circuit (Papers 25, 26)</t>
        </is>
      </c>
      <c r="B73" t="inlineStr">
        <is>
          <t>IBM Eagle r3 + Heron r2</t>
        </is>
      </c>
      <c r="C73" t="inlineStr">
        <is>
          <t>Stroboscopic quasi-period scan; cross-platform Eagle r3 vs Heron r2</t>
        </is>
      </c>
      <c r="D73" t="inlineStr">
        <is>
          <t>Paper 25 §3 / Paper 26 §2.2</t>
        </is>
      </c>
      <c r="E73" t="inlineStr">
        <is>
          <t>Quasi-period n=39 (3.25T), 97.8% mean fidelity; cross-platform 2% match</t>
        </is>
      </c>
      <c r="F73" t="inlineStr">
        <is>
          <t>COMPLETE — Eagle r3 + Heron r2</t>
        </is>
      </c>
      <c r="G73" t="inlineStr">
        <is>
          <t>Papers 25-26 (Zenodo)</t>
        </is>
      </c>
    </row>
    <row r="74">
      <c r="A74" s="11" t="inlineStr">
        <is>
          <t>DTC circuit family (Paper 26)</t>
        </is>
      </c>
      <c r="B74" t="inlineStr">
        <is>
          <t>IBM Heron r2</t>
        </is>
      </c>
      <c r="C74" t="inlineStr">
        <is>
          <t>Discrete Time Crystal sweep ε=0..0.1</t>
        </is>
      </c>
      <c r="D74" t="inlineStr">
        <is>
          <t>Paper 26 §2.2</t>
        </is>
      </c>
      <c r="E74" t="inlineStr">
        <is>
          <t>DTC ratio range 3.43-3.92×</t>
        </is>
      </c>
      <c r="F74" t="inlineStr">
        <is>
          <t>COMPLETE — IBM Heron r2</t>
        </is>
      </c>
      <c r="G74" t="inlineStr">
        <is>
          <t>Paper 26 (Zenodo)</t>
        </is>
      </c>
    </row>
    <row r="75">
      <c r="A75" s="11" t="inlineStr">
        <is>
          <t>cirq/run_p4s_memory_persistence_cirq.py</t>
        </is>
      </c>
      <c r="B75" t="inlineStr">
        <is>
          <t>Synthetic (Cirq)</t>
        </is>
      </c>
      <c r="C75" t="inlineStr">
        <is>
          <t>4-square memory persistence at n=1..10 Coxeter periods</t>
        </is>
      </c>
      <c r="D75" t="inlineStr">
        <is>
          <t>Paper 32 §3.2 Tab 2</t>
        </is>
      </c>
      <c r="E75" t="inlineStr">
        <is>
          <t>n=10 distance 0.74 = 74% of n=1; peak amplification at n=3</t>
        </is>
      </c>
      <c r="F75" t="inlineStr">
        <is>
          <t>COMPLETE</t>
        </is>
      </c>
      <c r="G75" t="inlineStr">
        <is>
          <t>Paper 32 GitHub</t>
        </is>
      </c>
    </row>
    <row r="76">
      <c r="A76" s="11" t="inlineStr">
        <is>
          <t>cirq/run_p4s_memory_capacity_cirq.py</t>
        </is>
      </c>
      <c r="B76" t="inlineStr">
        <is>
          <t>Synthetic (Cirq)</t>
        </is>
      </c>
      <c r="C76" t="inlineStr">
        <is>
          <t>Memory capacity (3σ-resolvable) under depol noise sweep</t>
        </is>
      </c>
      <c r="D76" t="inlineStr">
        <is>
          <t>Paper 32 §4.2 Tab 4 / §5.3 Tab 7</t>
        </is>
      </c>
      <c r="E76" t="inlineStr">
        <is>
          <t>31 mem (4.95 bits) ideal; 51 mem (5.67 bits) at p_depol=0.005</t>
        </is>
      </c>
      <c r="F76" t="inlineStr">
        <is>
          <t>COMPLETE</t>
        </is>
      </c>
      <c r="G76" t="inlineStr">
        <is>
          <t>Paper 32 GitHub</t>
        </is>
      </c>
    </row>
    <row r="77">
      <c r="A77" s="11" t="inlineStr">
        <is>
          <t>cirq/calibrate_4square_damping.py</t>
        </is>
      </c>
      <c r="B77" t="inlineStr">
        <is>
          <t>Synthetic (Cirq)</t>
        </is>
      </c>
      <c r="C77" t="inlineStr">
        <is>
          <t>Damping factor calibration on 4-square topology</t>
        </is>
      </c>
      <c r="D77" t="inlineStr">
        <is>
          <t>Paper 32 §5.2 Tab 6</t>
        </is>
      </c>
      <c r="E77" t="inlineStr">
        <is>
          <t>0.384 ± 0.279 per-bond at p_depol=0.005</t>
        </is>
      </c>
      <c r="F77" t="inlineStr">
        <is>
          <t>COMPLETE</t>
        </is>
      </c>
      <c r="G77" t="inlineStr">
        <is>
          <t>Paper 32 GitHub</t>
        </is>
      </c>
    </row>
    <row r="78">
      <c r="A78" s="11" t="inlineStr">
        <is>
          <t>genesis/R_locking_test.py</t>
        </is>
      </c>
      <c r="B78" t="inlineStr">
        <is>
          <t>Synthetic</t>
        </is>
      </c>
      <c r="C78" t="inlineStr">
        <is>
          <t>Z₃ cyclic clock R-locking test — confirms T_CYCLE = 12 = 3 cycles × 4 internal steps</t>
        </is>
      </c>
      <c r="D78" t="inlineStr">
        <is>
          <t>Paper 33 §3.3 §5.5</t>
        </is>
      </c>
      <c r="E78" t="inlineStr">
        <is>
          <t>T_CYCLE = 12 (Z₃-locked)</t>
        </is>
      </c>
      <c r="F78" t="inlineStr">
        <is>
          <t>COMPLETE</t>
        </is>
      </c>
      <c r="G78" t="inlineStr">
        <is>
          <t>Paper 33 GitHub (pentachoric_verification)</t>
        </is>
      </c>
    </row>
    <row r="79">
      <c r="A79" s="11" t="inlineStr">
        <is>
          <t>Pentachoric Verification suite (Paper 33)</t>
        </is>
      </c>
      <c r="B79" t="inlineStr">
        <is>
          <t>Synthetic + IBM emulators</t>
        </is>
      </c>
      <c r="C79" t="inlineStr">
        <is>
          <t>5-stage Pentachoric verification {S, R, T, F, P} on noise-emulated Heron r2 / Eagle r3</t>
        </is>
      </c>
      <c r="D79" t="inlineStr">
        <is>
          <t>Paper 33 §4.1, §5.1-5.3</t>
        </is>
      </c>
      <c r="E79" t="inlineStr">
        <is>
          <t>Heron r2 STRONG PASS; Eagle r3 WEAK PASS (F borderline)</t>
        </is>
      </c>
      <c r="F79" t="inlineStr">
        <is>
          <t>COMPLETE</t>
        </is>
      </c>
      <c r="G79" t="inlineStr">
        <is>
          <t>Paper 33 GitHub (pentachoric_verification)</t>
        </is>
      </c>
    </row>
    <row r="80">
      <c r="A80" s="11" t="inlineStr">
        <is>
          <t>run_p4s_double_triangle_cirq.py</t>
        </is>
      </c>
      <c r="B80" t="inlineStr">
        <is>
          <t>Synthetic (Cirq)</t>
        </is>
      </c>
      <c r="C80" t="inlineStr">
        <is>
          <t>Double-triangle entropy spectrum scan — period-12 + harmonic-6 bichromatic FFT</t>
        </is>
      </c>
      <c r="D80" t="inlineStr">
        <is>
          <t>Paper 34 §4.3-4.5</t>
        </is>
      </c>
      <c r="E80" t="inlineStr">
        <is>
          <t>Period 12; bichromatic FFT (98.94% in {12, 6} bands); ΔS = 0.0534 ± 0.0069</t>
        </is>
      </c>
      <c r="F80" t="inlineStr">
        <is>
          <t>COMPLETE</t>
        </is>
      </c>
      <c r="G80" t="inlineStr">
        <is>
          <t>Paper 34 GitHub</t>
        </is>
      </c>
    </row>
    <row r="81">
      <c r="A81" s="11" t="inlineStr">
        <is>
          <t>run_stage_c_complex128.py</t>
        </is>
      </c>
      <c r="B81" t="inlineStr">
        <is>
          <t>Synthetic</t>
        </is>
      </c>
      <c r="C81" t="inlineStr">
        <is>
          <t>complex128 precision check on entropy peak-trough contrast (Paper 34 Stage C)</t>
        </is>
      </c>
      <c r="D81" t="inlineStr">
        <is>
          <t>Paper 34 §4.5 Tab 4</t>
        </is>
      </c>
      <c r="E81" t="inlineStr">
        <is>
          <t>ΔS = 0.0534 ± 0.0069 — structural, not noise</t>
        </is>
      </c>
      <c r="F81" t="inlineStr">
        <is>
          <t>COMPLETE</t>
        </is>
      </c>
      <c r="G81" t="inlineStr">
        <is>
          <t>Paper 34 GitHub</t>
        </is>
      </c>
    </row>
    <row r="82">
      <c r="A82" s="11" t="inlineStr">
        <is>
          <t>enzyme_analog_v1.py</t>
        </is>
      </c>
      <c r="B82" t="inlineStr">
        <is>
          <t>Synthetic</t>
        </is>
      </c>
      <c r="C82" t="inlineStr">
        <is>
          <t>Five-gate enzyme analog: S-delivery + P-position tests; 24 gate orderings; canonical 12-enzyme / 68-step decomposition</t>
        </is>
      </c>
      <c r="D82" t="inlineStr">
        <is>
          <t>Paper 4 §6.5 §4.1</t>
        </is>
      </c>
      <c r="E82" t="inlineStr">
        <is>
          <t>S-purity 0.678; P-last 0.722 vs P-elsewhere 0.794; 0/68 sixth-op</t>
        </is>
      </c>
      <c r="F82" t="inlineStr">
        <is>
          <t>COMPLETE</t>
        </is>
      </c>
      <c r="G82" t="inlineStr">
        <is>
          <t>SelinaAliens/enzymes_5_gates_merkabit</t>
        </is>
      </c>
    </row>
    <row r="83">
      <c r="A83" s="11" t="inlineStr">
        <is>
          <t>enzyme_analog_v2.py</t>
        </is>
      </c>
      <c r="B83" t="inlineStr">
        <is>
          <t>Synthetic</t>
        </is>
      </c>
      <c r="C83" t="inlineStr">
        <is>
          <t>Round-trip fidelity test (Test 5') + obstruction sweep (Test 6') under unitary idealisation</t>
        </is>
      </c>
      <c r="D83" t="inlineStr">
        <is>
          <t>Paper 4 §7.7</t>
        </is>
      </c>
      <c r="E83" t="inlineStr">
        <is>
          <t>F_rt = 1.000 exact; F_rt(ε=π/2) = 0.625; sin²(ε/2) corr = 1.0000</t>
        </is>
      </c>
      <c r="F83" t="inlineStr">
        <is>
          <t>COMPLETE</t>
        </is>
      </c>
      <c r="G83" t="inlineStr">
        <is>
          <t>SelinaAliens/enzymes_5_gates_merkabit</t>
        </is>
      </c>
    </row>
    <row r="84">
      <c r="A84" s="11" t="inlineStr">
        <is>
          <t>psii_kok_resonance.py</t>
        </is>
      </c>
      <c r="B84" t="inlineStr">
        <is>
          <t>Synthetic</t>
        </is>
      </c>
      <c r="C84" t="inlineStr">
        <is>
          <t>PSII Kok-cycle resonance scan T = {10, 11, 12, 13, 14}; tests architectural prediction at T = 12 (Coxeter frequency)</t>
        </is>
      </c>
      <c r="D84" t="inlineStr">
        <is>
          <t>Paper 4 §9.5</t>
        </is>
      </c>
      <c r="E84" t="inlineStr">
        <is>
          <t>rate(T=12) = 0.1667 = +94% vs neighbours but &lt; undriven 0.20 baseline (PARTIAL)</t>
        </is>
      </c>
      <c r="F84" t="inlineStr">
        <is>
          <t>COMPLETE</t>
        </is>
      </c>
      <c r="G84" t="inlineStr">
        <is>
          <t>SelinaAliens/enzymes_5_gates_merkabit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44" customWidth="1" min="5" max="5"/>
  </cols>
  <sheetData>
    <row r="1">
      <c r="A1" s="1" t="inlineStr">
        <is>
          <t>Submission Checklist — Both Papers</t>
        </is>
      </c>
    </row>
    <row r="2">
      <c r="A2" s="2" t="inlineStr">
        <is>
          <t>Every item must be ticked before submission</t>
        </is>
      </c>
    </row>
    <row r="3"/>
    <row r="4">
      <c r="A4" s="3" t="inlineStr">
        <is>
          <t>Item</t>
        </is>
      </c>
      <c r="B4" t="inlineStr">
        <is>
          <t>Paper</t>
        </is>
      </c>
      <c r="C4" t="inlineStr">
        <is>
          <t>Owner</t>
        </is>
      </c>
      <c r="D4" t="inlineStr">
        <is>
          <t>Status</t>
        </is>
      </c>
      <c r="E4" t="inlineStr">
        <is>
          <t>Notes</t>
        </is>
      </c>
    </row>
    <row r="5">
      <c r="A5" s="16" t="inlineStr">
        <is>
          <t>All cited numbers traced to results registry</t>
        </is>
      </c>
      <c r="B5" t="inlineStr">
        <is>
          <t>Both</t>
        </is>
      </c>
      <c r="C5" t="inlineStr">
        <is>
          <t>Selina</t>
        </is>
      </c>
      <c r="D5" t="inlineStr">
        <is>
          <t>IN PROGRESS</t>
        </is>
      </c>
      <c r="E5" t="inlineStr">
        <is>
          <t>Registry created today — populate as disorder sweep returns</t>
        </is>
      </c>
    </row>
    <row r="6">
      <c r="A6" s="17" t="inlineStr">
        <is>
          <t>All scripts run clean on downloaded Zenodo data</t>
        </is>
      </c>
      <c r="B6" t="inlineStr">
        <is>
          <t>Both</t>
        </is>
      </c>
      <c r="C6" t="inlineStr">
        <is>
          <t>Claude Code</t>
        </is>
      </c>
      <c r="D6" t="inlineStr">
        <is>
          <t>IN PROGRESS</t>
        </is>
      </c>
      <c r="E6" t="inlineStr">
        <is>
          <t>disorder_sweep.py pending completion</t>
        </is>
      </c>
    </row>
    <row r="7">
      <c r="A7" s="16" t="inlineStr">
        <is>
          <t>Q4 exclusion documented with fit quality table</t>
        </is>
      </c>
      <c r="B7" t="inlineStr">
        <is>
          <t>Companion</t>
        </is>
      </c>
      <c r="C7" t="inlineStr">
        <is>
          <t>Done</t>
        </is>
      </c>
      <c r="D7" t="inlineStr">
        <is>
          <t>COMPLETE</t>
        </is>
      </c>
      <c r="E7" t="inlineStr">
        <is>
          <t>Section 3.2 — R²=0.641, two-frequency beat, flat envelope</t>
        </is>
      </c>
    </row>
    <row r="8">
      <c r="A8" s="17" t="inlineStr">
        <is>
          <t>Tsoukalas scoped as corroboration not replication</t>
        </is>
      </c>
      <c r="B8" t="inlineStr">
        <is>
          <t>Companion</t>
        </is>
      </c>
      <c r="C8" t="inlineStr">
        <is>
          <t>Done</t>
        </is>
      </c>
      <c r="D8" t="inlineStr">
        <is>
          <t>COMPLETE</t>
        </is>
      </c>
      <c r="E8" t="inlineStr">
        <is>
          <t>J_ratio unmeasured, 12-combination test documented</t>
        </is>
      </c>
    </row>
    <row r="9">
      <c r="A9" s="16" t="inlineStr">
        <is>
          <t>Palmer-Stein path closed with Bernstein theorem</t>
        </is>
      </c>
      <c r="B9" t="inlineStr">
        <is>
          <t>Paper 2</t>
        </is>
      </c>
      <c r="C9" t="inlineStr">
        <is>
          <t>Done</t>
        </is>
      </c>
      <c r="D9" t="inlineStr">
        <is>
          <t>COMPLETE</t>
        </is>
      </c>
      <c r="E9" t="inlineStr">
        <is>
          <t>Section 6.1 fully updated</t>
        </is>
      </c>
    </row>
    <row r="10">
      <c r="A10" s="17" t="inlineStr">
        <is>
          <t>Cooperative cascade mechanism documented</t>
        </is>
      </c>
      <c r="B10" t="inlineStr">
        <is>
          <t>Paper 2</t>
        </is>
      </c>
      <c r="C10" t="inlineStr">
        <is>
          <t>Done</t>
        </is>
      </c>
      <c r="D10" t="inlineStr">
        <is>
          <t>COMPLETE</t>
        </is>
      </c>
      <c r="E10" t="inlineStr">
        <is>
          <t>ξ=3.0, n*=12, conditional ratio up to 3.11</t>
        </is>
      </c>
    </row>
    <row r="11">
      <c r="A11" s="16" t="inlineStr">
        <is>
          <t>r=0.91 extended to full disorder sweep</t>
        </is>
      </c>
      <c r="B11" t="inlineStr">
        <is>
          <t>Paper 2</t>
        </is>
      </c>
      <c r="C11" t="inlineStr">
        <is>
          <t>Claude Code</t>
        </is>
      </c>
      <c r="D11" t="inlineStr">
        <is>
          <t>COMPLETE</t>
        </is>
      </c>
      <c r="E11" t="inlineStr">
        <is>
          <t>r=0.915, p&lt;10⁻⁶, jackknife min 0.901 — 17 points, STABLE</t>
        </is>
      </c>
    </row>
    <row r="12">
      <c r="A12" s="17" t="inlineStr">
        <is>
          <t>Jackknife stability test on r</t>
        </is>
      </c>
      <c r="B12" t="inlineStr">
        <is>
          <t>Paper 2</t>
        </is>
      </c>
      <c r="C12" t="inlineStr">
        <is>
          <t>Claude Code</t>
        </is>
      </c>
      <c r="D12" t="inlineStr">
        <is>
          <t>COMPLETE</t>
        </is>
      </c>
      <c r="E12" t="inlineStr">
        <is>
          <t>Min r=0.901, max r=0.943, SE=0.039 — no single point drives result</t>
        </is>
      </c>
    </row>
    <row r="13">
      <c r="A13" s="16" t="inlineStr">
        <is>
          <t>Monte Carlo p-value for 3-point R²</t>
        </is>
      </c>
      <c r="B13" t="inlineStr">
        <is>
          <t>Companion</t>
        </is>
      </c>
      <c r="C13" t="inlineStr">
        <is>
          <t>Done</t>
        </is>
      </c>
      <c r="D13" t="inlineStr">
        <is>
          <t>COMPLETE</t>
        </is>
      </c>
      <c r="E13" t="inlineStr">
        <is>
          <t>p≈0.042 documented in Section 3.1</t>
        </is>
      </c>
    </row>
    <row r="14">
      <c r="A14" s="17" t="inlineStr">
        <is>
          <t>Methods: all datasets listed with Zenodo DOIs</t>
        </is>
      </c>
      <c r="B14" t="inlineStr">
        <is>
          <t>Both</t>
        </is>
      </c>
      <c r="C14" t="inlineStr">
        <is>
          <t>Selina</t>
        </is>
      </c>
      <c r="D14" t="inlineStr">
        <is>
          <t>PENDING</t>
        </is>
      </c>
      <c r="E14" t="inlineStr">
        <is>
          <t>Write after disorder sweep returns</t>
        </is>
      </c>
    </row>
    <row r="15">
      <c r="A15" s="16" t="inlineStr">
        <is>
          <t>Methods: KWW fitting procedure specified</t>
        </is>
      </c>
      <c r="B15" t="inlineStr">
        <is>
          <t>Both</t>
        </is>
      </c>
      <c r="C15" t="inlineStr">
        <is>
          <t>Selina</t>
        </is>
      </c>
      <c r="D15" t="inlineStr">
        <is>
          <t>PENDING</t>
        </is>
      </c>
      <c r="E15" t="inlineStr">
        <is>
          <t>Bounds, initial conditions, convergence criteria</t>
        </is>
      </c>
    </row>
    <row r="16">
      <c r="A16" s="17" t="inlineStr">
        <is>
          <t>Methods: consistent fitting bounds documented</t>
        </is>
      </c>
      <c r="B16" t="inlineStr">
        <is>
          <t>Both</t>
        </is>
      </c>
      <c r="C16" t="inlineStr">
        <is>
          <t>Selina</t>
        </is>
      </c>
      <c r="D16" t="inlineStr">
        <is>
          <t>PENDING</t>
        </is>
      </c>
      <c r="E16" t="inlineStr">
        <is>
          <t>Especially across disorder conditions</t>
        </is>
      </c>
    </row>
    <row r="17">
      <c r="A17" s="16" t="inlineStr">
        <is>
          <t>Data Availability statement drafted</t>
        </is>
      </c>
      <c r="B17" t="inlineStr">
        <is>
          <t>Both</t>
        </is>
      </c>
      <c r="C17" t="inlineStr">
        <is>
          <t>Selina</t>
        </is>
      </c>
      <c r="D17" t="inlineStr">
        <is>
          <t>PENDING</t>
        </is>
      </c>
      <c r="E17" t="inlineStr">
        <is>
          <t>All Zenodo DOIs, scripts on GitHub or Zenodo</t>
        </is>
      </c>
    </row>
    <row r="18">
      <c r="A18" s="17" t="inlineStr">
        <is>
          <t>Counter-rotation: two independent measurements cited</t>
        </is>
      </c>
      <c r="B18" t="inlineStr">
        <is>
          <t>Companion</t>
        </is>
      </c>
      <c r="C18" t="inlineStr">
        <is>
          <t>Done</t>
        </is>
      </c>
      <c r="D18" t="inlineStr">
        <is>
          <t>COMPLETE</t>
        </is>
      </c>
      <c r="E18" t="inlineStr">
        <is>
          <t>6.7× phase winding AND 6.71× spin asymmetry</t>
        </is>
      </c>
    </row>
    <row r="19">
      <c r="A19" s="16" t="inlineStr">
        <is>
          <t>n*=12 stated as non-fitted emergence from data</t>
        </is>
      </c>
      <c r="B19" t="inlineStr">
        <is>
          <t>Paper 2</t>
        </is>
      </c>
      <c r="C19" t="inlineStr">
        <is>
          <t>Done</t>
        </is>
      </c>
      <c r="D19" t="inlineStr">
        <is>
          <t>COMPLETE</t>
        </is>
      </c>
      <c r="E19" t="inlineStr">
        <is>
          <t>Section 6.1 — 'not a fitted parameter'</t>
        </is>
      </c>
    </row>
    <row r="20">
      <c r="A20" s="17" t="inlineStr">
        <is>
          <t>Platform comparison: GaAs/Si/Ge all documented</t>
        </is>
      </c>
      <c r="B20" t="inlineStr">
        <is>
          <t>Companion</t>
        </is>
      </c>
      <c r="C20" t="inlineStr">
        <is>
          <t>Done</t>
        </is>
      </c>
      <c r="D20" t="inlineStr">
        <is>
          <t>COMPLETE</t>
        </is>
      </c>
      <c r="E20" t="inlineStr">
        <is>
          <t>Section 7.5</t>
        </is>
      </c>
    </row>
    <row r="21">
      <c r="A21" s="16" t="inlineStr">
        <is>
          <t>Prediction scorecard honest — 3/13 confirmed</t>
        </is>
      </c>
      <c r="B21" t="inlineStr">
        <is>
          <t>Companion</t>
        </is>
      </c>
      <c r="C21" t="inlineStr">
        <is>
          <t>Done</t>
        </is>
      </c>
      <c r="D21" t="inlineStr">
        <is>
          <t>COMPLETE</t>
        </is>
      </c>
      <c r="E21" t="inlineStr">
        <is>
          <t>Exploratory framing, standard 1/f explanation noted</t>
        </is>
      </c>
    </row>
    <row r="22">
      <c r="A22" s="17" t="inlineStr">
        <is>
          <t>Decide: preprint first or direct journal submission</t>
        </is>
      </c>
      <c r="B22" t="inlineStr">
        <is>
          <t>Both</t>
        </is>
      </c>
      <c r="C22" t="inlineStr">
        <is>
          <t>Selina</t>
        </is>
      </c>
      <c r="D22" t="inlineStr">
        <is>
          <t>PENDING</t>
        </is>
      </c>
      <c r="E22" t="inlineStr">
        <is>
          <t>Recommendation: arXiv preprint first, await IBM Heron</t>
        </is>
      </c>
    </row>
    <row r="23">
      <c r="A23" s="16" t="inlineStr">
        <is>
          <t>Journal selection: Paper 2</t>
        </is>
      </c>
      <c r="B23" t="inlineStr">
        <is>
          <t>Paper 2</t>
        </is>
      </c>
      <c r="C23" t="inlineStr">
        <is>
          <t>Selina</t>
        </is>
      </c>
      <c r="D23" t="inlineStr">
        <is>
          <t>PENDING</t>
        </is>
      </c>
      <c r="E23" t="inlineStr">
        <is>
          <t>PRX Quantum / Nature Physics / PRL</t>
        </is>
      </c>
    </row>
    <row r="24">
      <c r="A24" s="17" t="inlineStr">
        <is>
          <t>Journal selection: Companion paper</t>
        </is>
      </c>
      <c r="B24" t="inlineStr">
        <is>
          <t>Companion</t>
        </is>
      </c>
      <c r="C24" t="inlineStr">
        <is>
          <t>Selina</t>
        </is>
      </c>
      <c r="D24" t="inlineStr">
        <is>
          <t>PENDING</t>
        </is>
      </c>
      <c r="E24" t="inlineStr">
        <is>
          <t>PRX Quantum (exploratory/perspective fits) / npj QI</t>
        </is>
      </c>
    </row>
    <row r="25">
      <c r="A25" s="16" t="inlineStr">
        <is>
          <t>Author list confirmed</t>
        </is>
      </c>
      <c r="B25" t="inlineStr">
        <is>
          <t>Both</t>
        </is>
      </c>
      <c r="C25" t="inlineStr">
        <is>
          <t>Selina</t>
        </is>
      </c>
      <c r="D25" t="inlineStr">
        <is>
          <t>PENDING</t>
        </is>
      </c>
    </row>
    <row r="26">
      <c r="A26" s="17" t="inlineStr">
        <is>
          <t>Figures: all plots publication quality</t>
        </is>
      </c>
      <c r="B26" t="inlineStr">
        <is>
          <t>Both</t>
        </is>
      </c>
      <c r="C26" t="inlineStr">
        <is>
          <t>Claude Code</t>
        </is>
      </c>
      <c r="D26" t="inlineStr">
        <is>
          <t>PENDING</t>
        </is>
      </c>
      <c r="E26" t="inlineStr">
        <is>
          <t>Generate final figures from scripts</t>
        </is>
      </c>
    </row>
    <row r="27">
      <c r="A27" s="16" t="inlineStr">
        <is>
          <t>Abstract word count within journal limits</t>
        </is>
      </c>
      <c r="B27" t="inlineStr">
        <is>
          <t>Both</t>
        </is>
      </c>
      <c r="C27" t="inlineStr">
        <is>
          <t>Selina</t>
        </is>
      </c>
      <c r="D27" t="inlineStr">
        <is>
          <t>PENDING</t>
        </is>
      </c>
      <c r="E27" t="inlineStr">
        <is>
          <t>Check per journal</t>
        </is>
      </c>
    </row>
    <row r="28">
      <c r="A28" s="18" t="inlineStr">
        <is>
          <t>n* crossover stress test completed — Option C language in paper</t>
        </is>
      </c>
      <c r="B28" t="inlineStr">
        <is>
          <t>Paper 2</t>
        </is>
      </c>
      <c r="C28" t="inlineStr">
        <is>
          <t>Done</t>
        </is>
      </c>
      <c r="D28" t="inlineStr">
        <is>
          <t>COMPLETE</t>
        </is>
      </c>
      <c r="E28" t="inlineStr">
        <is>
          <t>7-task stress test: crossover real (p&lt;0.005) but imprecise (CI [6,15]). Strong claim removed. Option C language inserted throughout.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6" customWidth="1" min="1" max="1"/>
    <col width="52" customWidth="1" min="2" max="2"/>
    <col width="18" customWidth="1" min="3" max="3"/>
    <col width="30" customWidth="1" min="4" max="4"/>
  </cols>
  <sheetData>
    <row r="1">
      <c r="A1" s="1" t="inlineStr">
        <is>
          <t>Key Physical Findings — Narrative Summary</t>
        </is>
      </c>
    </row>
    <row r="2">
      <c r="A2" s="2" t="inlineStr">
        <is>
          <t>The story the data tells, in order of discovery</t>
        </is>
      </c>
    </row>
    <row r="3"/>
    <row r="4">
      <c r="A4" s="3" t="inlineStr">
        <is>
          <t>Finding</t>
        </is>
      </c>
      <c r="B4" t="inlineStr">
        <is>
          <t>What it means</t>
        </is>
      </c>
      <c r="C4" t="inlineStr">
        <is>
          <t>Where in papers</t>
        </is>
      </c>
      <c r="D4" t="inlineStr">
        <is>
          <t>Stress-tested?</t>
        </is>
      </c>
    </row>
    <row r="5">
      <c r="A5" s="16" t="inlineStr">
        <is>
          <t>α ≈ 1.3 scaling law across Q1-Q3 (r=−0.998)</t>
        </is>
      </c>
      <c r="B5" t="inlineStr">
        <is>
          <t>Decoherence exponent decreases linearly with exchange coupling ratio. Q3 at J_ratio=4.65 is 95% of threshold.</t>
        </is>
      </c>
      <c r="C5" t="inlineStr">
        <is>
          <t>Companion 3.1</t>
        </is>
      </c>
      <c r="D5" t="inlineStr">
        <is>
          <t>YES — Monte Carlo p=0.042, Tsoukalas corroboration</t>
        </is>
      </c>
    </row>
    <row r="6">
      <c r="A6" s="17" t="inlineStr">
        <is>
          <t>Q3 is worst qubit — pre-lock signature</t>
        </is>
      </c>
      <c r="B6" t="inlineStr">
        <is>
          <t>Q3 degrades on every metric (T2*, RB, prep fidelity) because it is hunting for a standing wave lock without geometry to find it. Degradation is signature of approach without arrival.</t>
        </is>
      </c>
      <c r="C6" t="inlineStr">
        <is>
          <t>Companion 6.1</t>
        </is>
      </c>
      <c r="D6" t="inlineStr">
        <is>
          <t>YES — all 4 metrics checked, Xiang disorder sweep consistent</t>
        </is>
      </c>
    </row>
    <row r="7">
      <c r="A7" s="16" t="inlineStr">
        <is>
          <t>Q4 excluded on fit quality, not outcome</t>
        </is>
      </c>
      <c r="B7" t="inlineStr">
        <is>
          <t>Two-frequency beat pattern, flat envelope (1.15×), R²=0.641 — no meaningful α extractable. Exclusion is principled.</t>
        </is>
      </c>
      <c r="C7" t="inlineStr">
        <is>
          <t>Companion 3.2</t>
        </is>
      </c>
      <c r="D7" t="inlineStr">
        <is>
          <t>YES — FFT analysis, alternative bounds tested</t>
        </is>
      </c>
    </row>
    <row r="8">
      <c r="A8" s="17" t="inlineStr">
        <is>
          <t>Tsoukalas α=1.442 excludes MBL (p=0.011), consistent with 4/3 (p=0.72)</t>
        </is>
      </c>
      <c r="B8" t="inlineStr">
        <is>
          <t>Independent device from Copenhagen shows same α. J_ratio unmeasured. Corroboration, not replication.</t>
        </is>
      </c>
      <c r="C8" t="inlineStr">
        <is>
          <t>Companion 3.3</t>
        </is>
      </c>
      <c r="D8" t="inlineStr">
        <is>
          <t>YES — 12-combination J_ratio exhaustive search, bootstrap CI</t>
        </is>
      </c>
    </row>
    <row r="9">
      <c r="A9" s="19" t="inlineStr">
        <is>
          <t>Counter-rotation at Q3-Q4: 6.7× phase winding ratio = 6.71× spin asymmetry</t>
        </is>
      </c>
      <c r="B9" t="inlineStr">
        <is>
          <t>Two independent measurements of different observables return the same ratio. Not a coincidence. Standing wave physics detected dynamically via spin-orbit during voltage ramp.</t>
        </is>
      </c>
      <c r="C9" t="inlineStr">
        <is>
          <t>Companion 5.4.2</t>
        </is>
      </c>
      <c r="D9" t="inlineStr">
        <is>
          <t>YES — independent measurements, Q2-Q3 contrast confirmed</t>
        </is>
      </c>
    </row>
    <row r="10">
      <c r="A10" s="17" t="inlineStr">
        <is>
          <t>Zhang 2×4: cos(θ) identity not testable in exchange-driven data</t>
        </is>
      </c>
      <c r="B10" t="inlineStr">
        <is>
          <t>Universal frustration (12-159% deviation) is methodology artefact, not physics. The identity requires diabatic shuttling experiments.</t>
        </is>
      </c>
      <c r="C10" t="inlineStr">
        <is>
          <t>Companion 5.4.1</t>
        </is>
      </c>
      <c r="D10" t="inlineStr">
        <is>
          <t>YES — sign reversal between rung/rail pairs confirms artefact</t>
        </is>
      </c>
    </row>
    <row r="11">
      <c r="A11" s="16" t="inlineStr">
        <is>
          <t>GaAs/SAW: passive singlet preservation only</t>
        </is>
      </c>
      <c r="B11" t="inlineStr">
        <is>
          <t>Near-zero differential phase winding from zero-spin symmetry, not counter-rotation. Works in any platform. Not the active mechanism the Merkabit needs.</t>
        </is>
      </c>
      <c r="C11" t="inlineStr">
        <is>
          <t>Companion 7.5</t>
        </is>
      </c>
      <c r="D11" t="inlineStr">
        <is>
          <t>YES — S-T0 transit fraction 46% noted as caveat</t>
        </is>
      </c>
    </row>
    <row r="12">
      <c r="A12" s="17" t="inlineStr">
        <is>
          <t>Si FinFET: co-rotation, wrong mechanism</t>
        </is>
      </c>
      <c r="B12" t="inlineStr">
        <is>
          <t>g-tensor anisotropy 10× too small, both axes aligned along channel. Negative result. Ge is required.</t>
        </is>
      </c>
      <c r="C12" t="inlineStr">
        <is>
          <t>Companion 7.5</t>
        </is>
      </c>
      <c r="D12" t="inlineStr">
        <is>
          <t>YES — 5-plane exchange anisotropy analysis</t>
        </is>
      </c>
    </row>
    <row r="13">
      <c r="A13" s="16" t="inlineStr">
        <is>
          <t>Palmer-Stein path to log₃(4) closed by Bernstein's theorem</t>
        </is>
      </c>
      <c r="B13" t="inlineStr">
        <is>
          <t>Completely monotone functions have α ≤ 1. No Palmer-Stein construction with any branching factor can produce observed α &gt; 1. Ceiling confirmed numerically (b=1000 → α=0.9995).</t>
        </is>
      </c>
      <c r="C13" t="inlineStr">
        <is>
          <t>Paper 2, 6.1</t>
        </is>
      </c>
      <c r="D13" t="inlineStr">
        <is>
          <t>YES — 6 independent numerical tests</t>
        </is>
      </c>
    </row>
    <row r="14">
      <c r="A14" s="17" t="inlineStr">
        <is>
          <t>Cooperative cascade mechanism confirmed for α &gt; 1</t>
        </is>
      </c>
      <c r="B14" t="inlineStr">
        <is>
          <t>ξ=3.0 qubit spacings (plaquette scale), conditional ratio up to 3.11, absent in Mi MBL control. Ballistic ruled out by γ≈1 at early times.</t>
        </is>
      </c>
      <c r="C14" t="inlineStr">
        <is>
          <t>Paper 2, 6.1</t>
        </is>
      </c>
      <c r="D14" t="inlineStr">
        <is>
          <t>YES — two independent test methods, Mi control</t>
        </is>
      </c>
    </row>
    <row r="15">
      <c r="A15" s="20" t="inlineStr">
        <is>
          <t>Cooperative cascade crossover at n* ~ 8–15 Floquet periods (95% CI [6, 15]); h(E₆) = 12 within range</t>
        </is>
      </c>
      <c r="B15" t="inlineStr">
        <is>
          <t>A crossover from independent to cooperative decay is statistically real (p &lt; 0.005 for 4/4 qubits, SD = 1.5 across qubits). Its precise period is poorly localised: definitions give 8.8–13.2, window sensitivity spans 9 periods, Xiang at 85th percentile of null model, Mi MBL also shows sustained α&gt;1 runs. The Coxeter number h(E₆) = 12 falls within the CI and is intriguing, but cannot be confirmed from 20-period data. IBM Heron (~100 cycles) is the test.</t>
        </is>
      </c>
      <c r="C15" t="inlineStr">
        <is>
          <t>Paper 2, 6.1</t>
        </is>
      </c>
      <c r="D15" t="inlineStr">
        <is>
          <t>YES — stress-tested (7 tasks). Strong claim FAILED. Option C (hedged) is supported: crossover real, timing imprecise.</t>
        </is>
      </c>
    </row>
    <row r="16">
      <c r="A16" s="17" t="inlineStr">
        <is>
          <t>4/3 geometric ratio path: surviving exact-value candidate</t>
        </is>
      </c>
      <c r="B16" t="inlineStr">
        <is>
          <t>Ratio Merkabit:Eisenstein channels = 4:3. Cooperative cascade may encode this in plaquette coupling geometry. Derivation connecting channel-count to KWW exponent is open.</t>
        </is>
      </c>
      <c r="C16" t="inlineStr">
        <is>
          <t>Paper 2, 6.3</t>
        </is>
      </c>
      <c r="D16" t="inlineStr">
        <is>
          <t>PARTIALLY — no competing derivation survives</t>
        </is>
      </c>
    </row>
    <row r="17"/>
    <row r="18">
      <c r="A18" s="7" t="n"/>
    </row>
    <row r="19">
      <c r="A19" s="21" t="inlineStr">
        <is>
          <t>1/3 is the zero point constant — forced from ≥3 independent directions</t>
        </is>
      </c>
      <c r="B19" t="inlineStr">
        <is>
          <t>24-cell spectral gap/bandwidth = 4/12 = 1/3 (graph theory). Z3 ground state fraction = 1/3 (group theory). 1/(dim−1) at dim=4 (dimensional). 8-spinor |C|_mean ≈ 0.33 (simulation). All exact, all independent.</t>
        </is>
      </c>
      <c r="C19" t="inlineStr">
        <is>
          <t>Both / Derivation</t>
        </is>
      </c>
      <c r="D19" t="inlineStr">
        <is>
          <t>YES — 600-cell falsification passed (gap/bw=0.146≠1/3); 5-cell trivial (gap/bw=1.0); 24-cell UNIQUE</t>
        </is>
      </c>
    </row>
    <row r="20">
      <c r="A20" s="21" t="inlineStr">
        <is>
          <t>Dual ouroboros Berry phase = 0.000000 exactly</t>
        </is>
      </c>
      <c r="B20" t="inlineStr">
        <is>
          <t>Forward 12-step cycle gives γ=−1.837238π. Adding inverse 12-step cycle cancels exactly: γ_total=0.000000, state closure |u_end−u_0|&lt;10⁻¹⁵. The pi-lock standing wave condition = zero net Berry phase.</t>
        </is>
      </c>
      <c r="C20" t="inlineStr">
        <is>
          <t>Both / Derivation</t>
        </is>
      </c>
      <c r="D20" t="inlineStr">
        <is>
          <t>YES — state closure confirmed to machine precision</t>
        </is>
      </c>
    </row>
    <row r="21">
      <c r="A21" s="21" t="inlineStr">
        <is>
          <t>24 = 2×12 is structural, not coincidental</t>
        </is>
      </c>
      <c r="B21" t="inlineStr">
        <is>
          <t>24-cell vertices = roots of D4. D4 is a sub-root-system of E6. |roots(D4)| = 24 = 2×h(E6) = 2×12. Connection via McKay correspondence: binary tetrahedral group 2T (order 24) ↔ D4 Dynkin diagram. E6 contains D4. The 24-cell IS the dual ouroboros geometrically.</t>
        </is>
      </c>
      <c r="C21" t="inlineStr">
        <is>
          <t>Both / Derivation</t>
        </is>
      </c>
      <c r="D21" t="inlineStr">
        <is>
          <t>YES — known Lie theory identity confirmed numerically</t>
        </is>
      </c>
    </row>
    <row r="22">
      <c r="A22" s="21" t="inlineStr">
        <is>
          <t>Forcing chain: {binary + threshold} → {1/3, 4/3} with zero free parameters</t>
        </is>
      </c>
      <c r="B22" t="inlineStr">
        <is>
          <t>Binary threshold → Z3 trit space → 1/3 ground state fraction = 24-cell spectral gap. Base 4D structure (tesseract) has gap/bw=1/4. Self-dual closure (24-cell) has gap/bw=1/3. Enhancement ratio = (1/3)/(1/4) = 4/3 = KWW exponent. Zero free parameters throughout.</t>
        </is>
      </c>
      <c r="C22" t="inlineStr">
        <is>
          <t>Both / Derivation</t>
        </is>
      </c>
      <c r="D22" t="inlineStr">
        <is>
          <t>YES — all polytope gaps verified independently; 600-cell falsification passed</t>
        </is>
      </c>
    </row>
    <row r="23">
      <c r="A23" s="8" t="inlineStr">
        <is>
          <t>4/3 is a global brain signature in HYT — spatially uniform (Phase 1 deep dive)</t>
        </is>
      </c>
      <c r="B23" t="inlineStr">
        <is>
          <t>36/64 channels (56%) within 0.10 of 4/3 in HYT. 0/64 in CTR or VIP. Shift is topographically flat: all 64 channels lower in HYT than CTR; 56/64 significant (p&lt;0.05). No anterior-posterior gradient, no hemisphere asymmetry. Moran's I=0.091 (local smoothness only); chi-squared sector test p=0.95 (no regional preference). Z3 sectors range 0.024. Rules out every localised explanation.</t>
        </is>
      </c>
      <c r="C23" t="inlineStr">
        <is>
          <t>Paper 1 / Meditation</t>
        </is>
      </c>
      <c r="D23" t="inlineStr">
        <is>
          <t>YES — MED-P1-31/32/33</t>
        </is>
      </c>
    </row>
    <row r="24">
      <c r="A24" s="8" t="inlineStr">
        <is>
          <t>ISY distribution: unimodal and wide — approaching, not split (Phase 1 deep dive)</t>
        </is>
      </c>
      <c r="B24" t="inlineStr">
        <is>
          <t>Dip test p=0.77, BC=0.48 — unimodal. Range 1.00–1.93. KDE valley at 1.352 (|v−4/3|=0.019). P9/P10 channel means (1.334/1.331) are at 37.5th ISY percentile — group tendency, not outliers. 2/16 ISY vs 3/16 HYT subjects within 0.10 of 4/3 at whole-scalp median. ISY is broadly distributed around the threshold from below; HYT has more crossed it.</t>
        </is>
      </c>
      <c r="C24" t="inlineStr">
        <is>
          <t>Paper 1 / Meditation</t>
        </is>
      </c>
      <c r="D24" t="inlineStr">
        <is>
          <t>YES — MED-P1-15 through MED-P1-22</t>
        </is>
      </c>
    </row>
    <row r="25">
      <c r="A25" s="9" t="inlineStr">
        <is>
          <t>Z3 rise in HYT = bilateral structure dissolving, not Z3 strengthening (Phase 1 deep dive)</t>
        </is>
      </c>
      <c r="B25" t="inlineStr">
        <is>
          <t>Z3 score: CTR 0.305 → ISY 0.467 → VIP 0.340 → HYT 0.694 (HYT vs CTR p=0.037). Mechanism: H2 (bilateral) collapses 0.0308→0.0125 (59%); H3 (Z3) holds steady 0.0117→0.0107. Spatially uniform ratio = bilateral gradient flattens = H2 shrinks = Z3/Z2 ratio rises geometrically. VIP maintains bilateral structure (H2=0.0213 &gt; ISY 0.0189) — focused attention preserves bilateral organisation. P_MED_4 PARTIAL: direction correct, Z3 score &lt; 1 (0.694). Full Z3 dominance predicted for &gt;30,000 hr or raw EEG Phase 2.</t>
        </is>
      </c>
      <c r="C25" t="inlineStr">
        <is>
          <t>Paper 1 / Meditation</t>
        </is>
      </c>
      <c r="D25" t="inlineStr">
        <is>
          <t>PARTIAL — MED-P1-23 through MED-P1-34</t>
        </is>
      </c>
    </row>
    <row r="26"/>
    <row r="27">
      <c r="A27" s="11" t="inlineStr">
        <is>
          <t>Riemann zeros are β → γ destructive tunnel events under the Z₃ Dirichlet decomposition (35,100 zeros, γ ∈ [14, 74,921])</t>
        </is>
      </c>
      <c r="B27" t="inlineStr">
        <is>
          <t>The mathematical identity ζ_β(s) + ζ_γ(s) = (1 − 3⁻ˢ)ζ(s) makes the destructive identity hold exactly whenever ζ(s) = 0; empirical residuals (median 1.70×10⁻⁹, 100% under 10⁻⁷) measure cached-zero input precision, not the underlying identity. The Z₃ decomposition is the architecturally correct one.</t>
        </is>
      </c>
      <c r="C27" t="inlineStr">
        <is>
          <t>Paper 37 §4</t>
        </is>
      </c>
      <c r="D27" t="inlineStr">
        <is>
          <t>YES — 35K continuous overnight + 100 stratified high-γ; phase locking to π exact to 9–10 dp at median</t>
        </is>
      </c>
    </row>
    <row r="28">
      <c r="A28" s="11" t="inlineStr">
        <is>
          <t>σ-fixed-pivot theorem: pivot transits are forced through the unique σ-fixed product state |RRR⟩</t>
        </is>
      </c>
      <c r="B28" t="inlineStr">
        <is>
          <t>Verified to machine precision (1.11×10⁻¹⁶ bias) across 10⁴ Haar-random σ-equivariant unitaries on U(14)×U(13)→U(27). 26 non-σ-fixed product configurations show O(1) bias — separation of 10¹⁵×. Closes the operator-algebraic half of the §7.3 structural argument.</t>
        </is>
      </c>
      <c r="C28" t="inlineStr">
        <is>
          <t>Paper 38 §7.5</t>
        </is>
      </c>
      <c r="D28" t="inlineStr">
        <is>
          <t>YES — Monte Carlo + analytic identity (★) check; theorem rigorous</t>
        </is>
      </c>
    </row>
    <row r="29">
      <c r="A29" s="11" t="inlineStr">
        <is>
          <t>K-modulus theorem: |K_L(s)| = 1 ⇔ Re(s) = 1/2</t>
        </is>
      </c>
      <c r="B29" t="inlineStr">
        <is>
          <t>Geometric uniqueness of the critical line under the framework's Dirichlet ↔ Hurwitz embedding. Verified to 50-digit precision. Combined with σ-fixed-pivot theorem this maps the σ-fixed locus to Re(s) = 1/2.</t>
        </is>
      </c>
      <c r="C29" t="inlineStr">
        <is>
          <t>Paper 37 §5; Paper 38 §7.4</t>
        </is>
      </c>
      <c r="D29" t="inlineStr">
        <is>
          <t>YES — proven; 50-digit numerical verification</t>
        </is>
      </c>
    </row>
    <row r="30">
      <c r="A30" s="11" t="inlineStr">
        <is>
          <t>IBM Heron Thread B: cooperative-event mixing model fits to 0.9% deviation</t>
        </is>
      </c>
      <c r="B30" t="inlineStr">
        <is>
          <t>Mean Fano factor 0.855 across 756 runs / 18 strata. 94% of substrata sub-Poissonian. KS vs Poisson p=0.468 (cannot reject), KS vs pure GUE p=0.073 (consistent with mixture not pure). Quantitative confirmation of cooperative-event interpretation, not pure GUE.</t>
        </is>
      </c>
      <c r="C30" t="inlineStr">
        <is>
          <t>Paper 37 §4.5 (Thread B)</t>
        </is>
      </c>
      <c r="D30" t="inlineStr">
        <is>
          <t>YES — 18 strata × independent KS tests</t>
        </is>
      </c>
    </row>
    <row r="31">
      <c r="A31" s="11" t="inlineStr">
        <is>
          <t>S(T) midpoint correlation: empirical vs architectural prediction r = 0.974 over 1999 midpoints</t>
        </is>
      </c>
      <c r="B31" t="inlineStr">
        <is>
          <t>Paper 39's architectural construction explains 94.4% of S(T) variance at midpoints between consecutive zeros (T ∈ [17, 2515]). Residual std 0.045 vs S_arch std 0.197. Strong empirical anchor for the genesis-sequence reading.</t>
        </is>
      </c>
      <c r="C31" t="inlineStr">
        <is>
          <t>Paper 39 §S(T)</t>
        </is>
      </c>
      <c r="D31" t="inlineStr">
        <is>
          <t>YES — direct comparison, 1999 points</t>
        </is>
      </c>
    </row>
    <row r="32">
      <c r="A32" s="11" t="inlineStr">
        <is>
          <t>Fano-cycle architectural prediction: median |γ_n − γ_n^arch| = 0.0092 over 2000 zeros, 0 failures</t>
        </is>
      </c>
      <c r="B32" t="inlineStr">
        <is>
          <t>Architecture cycles through Fano plane; each cycle closure = one γ_n event; γ_n^arch = solution of N_arch(T) = n − 0.5 with S_arch built from log-prime modes.</t>
        </is>
      </c>
      <c r="C32" t="inlineStr">
        <is>
          <t>Paper 39 §Fano cycle</t>
        </is>
      </c>
      <c r="D32" t="inlineStr">
        <is>
          <t>YES — 2000-zero direct comparison</t>
        </is>
      </c>
    </row>
    <row r="33">
      <c r="A33" s="11" t="inlineStr">
        <is>
          <t>Splitting density of primes in Q(ζ_7)^+ matches Chebotarev: 0.482 empirical vs 0.500 theoretical</t>
        </is>
      </c>
      <c r="B33" t="inlineStr">
        <is>
          <t>168 primes p &lt; 1000 tested. Order distribution mod 7 matches Z/3 Galois prediction. Confirms Task 2 of the STT theorem chain (PSL(2,7) ↔ prime correspondence in real cubic subfield).</t>
        </is>
      </c>
      <c r="C33" t="inlineStr">
        <is>
          <t>Paper 40 Task 2</t>
        </is>
      </c>
      <c r="D33" t="inlineStr">
        <is>
          <t>YES — exhaustive sweep p&lt;1000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2026-05-15T13:39:22Z</dcterms:created>
  <dcterms:modified xmlns:dcterms="http://purl.org/dc/terms/" xmlns:xsi="http://www.w3.org/2001/XMLSchema-instance" xsi:type="dcterms:W3CDTF">2026-05-15T13:39:22Z</dcterms:modified>
</cp:coreProperties>
</file>